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學校基本資料" sheetId="2" state="visible" r:id="rId4"/>
    <sheet name="設定_節次結構" sheetId="3" state="visible" r:id="rId5"/>
    <sheet name="設定_年段時段" sheetId="4" state="visible" r:id="rId6"/>
    <sheet name="設定_場地表" sheetId="5" state="visible" r:id="rId7"/>
    <sheet name="設定_科目表" sheetId="6" state="visible" r:id="rId8"/>
    <sheet name="本土語分組" sheetId="7" state="visible" r:id="rId9"/>
    <sheet name="設定_排課規則清單" sheetId="8" state="visible" r:id="rId10"/>
    <sheet name="設定_教師角色" sheetId="9" state="visible" r:id="rId11"/>
    <sheet name="教師名冊" sheetId="10" state="visible" r:id="rId12"/>
    <sheet name="教師時段限制" sheetId="11" state="visible" r:id="rId13"/>
    <sheet name="班級基本資料" sheetId="12" state="visible" r:id="rId14"/>
    <sheet name="節數矩陣" sheetId="13" state="visible" r:id="rId15"/>
    <sheet name="配課表" sheetId="14" state="visible" r:id="rId16"/>
    <sheet name="場地封鎖" sheetId="15" state="visible" r:id="rId17"/>
    <sheet name="場地例外(room_override)" sheetId="16" state="visible" r:id="rId18"/>
    <sheet name="固定課鎖定" sheetId="17" state="visible" r:id="rId19"/>
    <sheet name="教師節數核對" sheetId="18" state="visible" r:id="rId20"/>
    <sheet name="鐘點需求彙總" sheetId="19" state="visible" r:id="rId21"/>
    <sheet name="未配課警示" sheetId="20" state="visible" r:id="rId22"/>
    <sheet name="資源班overlay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<sst xmlns="http://schemas.openxmlformats.org/spreadsheetml/2006/main" count="708" uniqueCount="391">
  <si>
    <t xml:space="preserve">排課系統 通用母版 v4（各校共用版）</t>
  </si>
  <si>
    <t xml:space="preserve">由內湖國小 v3.1 抽象化：學校資料已清空、各表留一筆灰字範例列（請替換）。建立日期：2026/7/9</t>
  </si>
  <si>
    <t xml:space="preserve">使用步驟：1)填學校基本資料 2)科目表改校訂課程名稱(校訂A~F，需同步改節數矩陣/配課表/未配課警示表頭與鐘點彙總) 3)其餘依原填寫順序。</t>
  </si>
  <si>
    <t xml:space="preserve">【v3 新增（對應排課硬規格）】</t>
  </si>
  <si>
    <r>
      <rPr>
        <sz val="10"/>
        <rFont val="Microsoft JhengHei"/>
        <family val="0"/>
        <charset val="1"/>
      </rPr>
      <t xml:space="preserve">1. </t>
    </r>
    <r>
      <rPr>
        <sz val="10"/>
        <rFont val="Noto Sans CJK SC"/>
        <family val="2"/>
      </rPr>
      <t xml:space="preserve">設定</t>
    </r>
    <r>
      <rPr>
        <sz val="10"/>
        <rFont val="Microsoft JhengHei"/>
        <family val="0"/>
        <charset val="1"/>
      </rPr>
      <t xml:space="preserve">_</t>
    </r>
    <r>
      <rPr>
        <sz val="10"/>
        <rFont val="Noto Sans CJK SC"/>
        <family val="2"/>
      </rPr>
      <t xml:space="preserve">科目表：改以「操作科目」為單位（藝術拆音樂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視覺藝術、健體拆健康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體育），</t>
    </r>
  </si>
  <si>
    <t xml:space="preserve">   新增 operation_subject_id、curriculum_slot_id、預設場地、分散/連堂/禁排節次參數。</t>
  </si>
  <si>
    <r>
      <rPr>
        <sz val="10"/>
        <rFont val="Microsoft JhengHei"/>
        <family val="0"/>
        <charset val="1"/>
      </rPr>
      <t xml:space="preserve">2. </t>
    </r>
    <r>
      <rPr>
        <sz val="10"/>
        <rFont val="Noto Sans CJK SC"/>
        <family val="2"/>
      </rPr>
      <t xml:space="preserve">設定</t>
    </r>
    <r>
      <rPr>
        <sz val="10"/>
        <rFont val="Microsoft JhengHei"/>
        <family val="0"/>
        <charset val="1"/>
      </rPr>
      <t xml:space="preserve">_</t>
    </r>
    <r>
      <rPr>
        <sz val="10"/>
        <rFont val="Noto Sans CJK SC"/>
        <family val="2"/>
      </rPr>
      <t xml:space="preserve">場地表：場地由科目自動帶出；例外一律填「場地例外</t>
    </r>
    <r>
      <rPr>
        <sz val="10"/>
        <rFont val="Microsoft JhengHei"/>
        <family val="0"/>
        <charset val="1"/>
      </rPr>
      <t xml:space="preserve">(room_override)</t>
    </r>
    <r>
      <rPr>
        <sz val="10"/>
        <rFont val="Noto Sans CJK SC"/>
        <family val="2"/>
      </rPr>
      <t xml:space="preserve">」分頁。</t>
    </r>
  </si>
  <si>
    <r>
      <rPr>
        <sz val="10"/>
        <rFont val="Microsoft JhengHei"/>
        <family val="0"/>
        <charset val="1"/>
      </rPr>
      <t xml:space="preserve">3. </t>
    </r>
    <r>
      <rPr>
        <sz val="10"/>
        <rFont val="Noto Sans CJK SC"/>
        <family val="2"/>
      </rPr>
      <t xml:space="preserve">設定</t>
    </r>
    <r>
      <rPr>
        <sz val="10"/>
        <rFont val="Microsoft JhengHei"/>
        <family val="0"/>
        <charset val="1"/>
      </rPr>
      <t xml:space="preserve">_</t>
    </r>
    <r>
      <rPr>
        <sz val="10"/>
        <rFont val="Noto Sans CJK SC"/>
        <family val="2"/>
      </rPr>
      <t xml:space="preserve">年段時段：各年級可排時段矩陣（低</t>
    </r>
    <r>
      <rPr>
        <sz val="10"/>
        <rFont val="Microsoft JhengHei"/>
        <family val="0"/>
        <charset val="1"/>
      </rPr>
      <t xml:space="preserve">23/</t>
    </r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29/</t>
    </r>
    <r>
      <rPr>
        <sz val="10"/>
        <rFont val="Noto Sans CJK SC"/>
        <family val="2"/>
      </rPr>
      <t xml:space="preserve">高</t>
    </r>
    <r>
      <rPr>
        <sz val="10"/>
        <rFont val="Microsoft JhengHei"/>
        <family val="0"/>
        <charset val="1"/>
      </rPr>
      <t xml:space="preserve">32</t>
    </r>
    <r>
      <rPr>
        <sz val="10"/>
        <rFont val="Noto Sans CJK SC"/>
        <family val="2"/>
      </rPr>
      <t xml:space="preserve">節），預設值依</t>
    </r>
    <r>
      <rPr>
        <sz val="10"/>
        <rFont val="Microsoft JhengHei"/>
        <family val="0"/>
        <charset val="1"/>
      </rPr>
      <t xml:space="preserve">114-1</t>
    </r>
    <r>
      <rPr>
        <sz val="10"/>
        <rFont val="Noto Sans CJK SC"/>
        <family val="2"/>
      </rPr>
      <t xml:space="preserve">課表推定，可修改。</t>
    </r>
  </si>
  <si>
    <r>
      <rPr>
        <sz val="10"/>
        <rFont val="Microsoft JhengHei"/>
        <family val="0"/>
        <charset val="1"/>
      </rPr>
      <t xml:space="preserve">4. </t>
    </r>
    <r>
      <rPr>
        <sz val="10"/>
        <rFont val="Noto Sans CJK SC"/>
        <family val="2"/>
      </rPr>
      <t xml:space="preserve">教師時段限制：個人禁排時段（已預填生教組長每日第</t>
    </r>
    <r>
      <rPr>
        <sz val="10"/>
        <rFont val="Microsoft JhengHei"/>
        <family val="0"/>
        <charset val="1"/>
      </rPr>
      <t xml:space="preserve">7</t>
    </r>
    <r>
      <rPr>
        <sz val="10"/>
        <rFont val="Noto Sans CJK SC"/>
        <family val="2"/>
      </rPr>
      <t xml:space="preserve">節）。</t>
    </r>
  </si>
  <si>
    <r>
      <rPr>
        <sz val="10"/>
        <rFont val="Microsoft JhengHei"/>
        <family val="0"/>
        <charset val="1"/>
      </rPr>
      <t xml:space="preserve">5. </t>
    </r>
    <r>
      <rPr>
        <sz val="10"/>
        <rFont val="Noto Sans CJK SC"/>
        <family val="2"/>
      </rPr>
      <t xml:space="preserve">固定課鎖定：類型「鎖定」</t>
    </r>
    <r>
      <rPr>
        <sz val="10"/>
        <rFont val="Microsoft JhengHei"/>
        <family val="0"/>
        <charset val="1"/>
      </rPr>
      <t xml:space="preserve">=</t>
    </r>
    <r>
      <rPr>
        <sz val="10"/>
        <rFont val="Noto Sans CJK SC"/>
        <family val="2"/>
      </rPr>
      <t xml:space="preserve">硬規則不可移動；「偏好」</t>
    </r>
    <r>
      <rPr>
        <sz val="10"/>
        <rFont val="Microsoft JhengHei"/>
        <family val="0"/>
        <charset val="1"/>
      </rPr>
      <t xml:space="preserve">=</t>
    </r>
    <r>
      <rPr>
        <sz val="10"/>
        <rFont val="Noto Sans CJK SC"/>
        <family val="2"/>
      </rPr>
      <t xml:space="preserve">軟規則（保留去年課表用）。</t>
    </r>
  </si>
  <si>
    <r>
      <rPr>
        <sz val="10"/>
        <rFont val="Microsoft JhengHei"/>
        <family val="0"/>
        <charset val="1"/>
      </rPr>
      <t xml:space="preserve">6. </t>
    </r>
    <r>
      <rPr>
        <sz val="10"/>
        <rFont val="Noto Sans CJK SC"/>
        <family val="2"/>
      </rPr>
      <t xml:space="preserve">未配課警示：節數</t>
    </r>
    <r>
      <rPr>
        <sz val="10"/>
        <rFont val="Microsoft JhengHei"/>
        <family val="0"/>
        <charset val="1"/>
      </rPr>
      <t xml:space="preserve">&gt;0 </t>
    </r>
    <r>
      <rPr>
        <sz val="10"/>
        <rFont val="Noto Sans CJK SC"/>
        <family val="2"/>
      </rPr>
      <t xml:space="preserve">但未配教師者列警示，排課引擎不硬排（硬規格</t>
    </r>
    <r>
      <rPr>
        <sz val="10"/>
        <rFont val="Microsoft JhengHei"/>
        <family val="0"/>
        <charset val="1"/>
      </rPr>
      <t xml:space="preserve">12</t>
    </r>
    <r>
      <rPr>
        <sz val="10"/>
        <rFont val="Noto Sans CJK SC"/>
        <family val="2"/>
      </rPr>
      <t xml:space="preserve">）。</t>
    </r>
  </si>
  <si>
    <r>
      <rPr>
        <sz val="10"/>
        <rFont val="Microsoft JhengHei"/>
        <family val="0"/>
        <charset val="1"/>
      </rPr>
      <t xml:space="preserve">7. </t>
    </r>
    <r>
      <rPr>
        <sz val="10"/>
        <rFont val="Noto Sans CJK SC"/>
        <family val="2"/>
      </rPr>
      <t xml:space="preserve">資源班</t>
    </r>
    <r>
      <rPr>
        <sz val="10"/>
        <rFont val="Microsoft JhengHei"/>
        <family val="0"/>
        <charset val="1"/>
      </rPr>
      <t xml:space="preserve">overlay</t>
    </r>
    <r>
      <rPr>
        <sz val="10"/>
        <rFont val="Noto Sans CJK SC"/>
        <family val="2"/>
      </rPr>
      <t xml:space="preserve">：獨立分頁，排課後疊加顯示，不覆蓋原班課表（硬規格</t>
    </r>
    <r>
      <rPr>
        <sz val="10"/>
        <rFont val="Microsoft JhengHei"/>
        <family val="0"/>
        <charset val="1"/>
      </rPr>
      <t xml:space="preserve">13</t>
    </r>
    <r>
      <rPr>
        <sz val="10"/>
        <rFont val="Noto Sans CJK SC"/>
        <family val="2"/>
      </rPr>
      <t xml:space="preserve">）。</t>
    </r>
  </si>
  <si>
    <t xml:space="preserve">【填寫順序】</t>
  </si>
  <si>
    <r>
      <rPr>
        <sz val="10"/>
        <rFont val="Microsoft JhengHei"/>
        <family val="0"/>
        <charset val="1"/>
      </rPr>
      <t xml:space="preserve">1) </t>
    </r>
    <r>
      <rPr>
        <sz val="10"/>
        <rFont val="Noto Sans CJK SC"/>
        <family val="2"/>
      </rPr>
      <t xml:space="preserve">設定</t>
    </r>
    <r>
      <rPr>
        <sz val="10"/>
        <rFont val="Microsoft JhengHei"/>
        <family val="0"/>
        <charset val="1"/>
      </rPr>
      <t xml:space="preserve">_</t>
    </r>
    <r>
      <rPr>
        <sz val="10"/>
        <rFont val="Noto Sans CJK SC"/>
        <family val="2"/>
      </rPr>
      <t xml:space="preserve">節次結構、設定</t>
    </r>
    <r>
      <rPr>
        <sz val="10"/>
        <rFont val="Microsoft JhengHei"/>
        <family val="0"/>
        <charset val="1"/>
      </rPr>
      <t xml:space="preserve">_</t>
    </r>
    <r>
      <rPr>
        <sz val="10"/>
        <rFont val="Noto Sans CJK SC"/>
        <family val="2"/>
      </rPr>
      <t xml:space="preserve">年段時段、設定</t>
    </r>
    <r>
      <rPr>
        <sz val="10"/>
        <rFont val="Microsoft JhengHei"/>
        <family val="0"/>
        <charset val="1"/>
      </rPr>
      <t xml:space="preserve">_</t>
    </r>
    <r>
      <rPr>
        <sz val="10"/>
        <rFont val="Noto Sans CJK SC"/>
        <family val="2"/>
      </rPr>
      <t xml:space="preserve">場地表、設定</t>
    </r>
    <r>
      <rPr>
        <sz val="10"/>
        <rFont val="Microsoft JhengHei"/>
        <family val="0"/>
        <charset val="1"/>
      </rPr>
      <t xml:space="preserve">_</t>
    </r>
    <r>
      <rPr>
        <sz val="10"/>
        <rFont val="Noto Sans CJK SC"/>
        <family val="2"/>
      </rPr>
      <t xml:space="preserve">科目表 → 通常用預設值即可</t>
    </r>
  </si>
  <si>
    <r>
      <rPr>
        <sz val="10"/>
        <rFont val="Microsoft JhengHei"/>
        <family val="0"/>
        <charset val="1"/>
      </rPr>
      <t xml:space="preserve">2) </t>
    </r>
    <r>
      <rPr>
        <sz val="10"/>
        <rFont val="Noto Sans CJK SC"/>
        <family val="2"/>
      </rPr>
      <t xml:space="preserve">教師名冊（角色、減課）→ </t>
    </r>
    <r>
      <rPr>
        <sz val="10"/>
        <rFont val="Microsoft JhengHei"/>
        <family val="0"/>
        <charset val="1"/>
      </rPr>
      <t xml:space="preserve">3) </t>
    </r>
    <r>
      <rPr>
        <sz val="10"/>
        <rFont val="Noto Sans CJK SC"/>
        <family val="2"/>
      </rPr>
      <t xml:space="preserve">班級基本資料（班級、導師）→ </t>
    </r>
    <r>
      <rPr>
        <sz val="10"/>
        <rFont val="Microsoft JhengHei"/>
        <family val="0"/>
        <charset val="1"/>
      </rPr>
      <t xml:space="preserve">4) </t>
    </r>
    <r>
      <rPr>
        <sz val="10"/>
        <rFont val="Noto Sans CJK SC"/>
        <family val="2"/>
      </rPr>
      <t xml:space="preserve">配課表（逐班配科任教師）</t>
    </r>
  </si>
  <si>
    <r>
      <rPr>
        <sz val="10"/>
        <rFont val="Microsoft JhengHei"/>
        <family val="0"/>
        <charset val="1"/>
      </rPr>
      <t xml:space="preserve">5) </t>
    </r>
    <r>
      <rPr>
        <sz val="10"/>
        <rFont val="Noto Sans CJK SC"/>
        <family val="2"/>
      </rPr>
      <t xml:space="preserve">教師時段限制、固定課鎖定、場地例外、資源班</t>
    </r>
    <r>
      <rPr>
        <sz val="10"/>
        <rFont val="Microsoft JhengHei"/>
        <family val="0"/>
        <charset val="1"/>
      </rPr>
      <t xml:space="preserve">overlay</t>
    </r>
    <r>
      <rPr>
        <sz val="10"/>
        <rFont val="Noto Sans CJK SC"/>
        <family val="2"/>
      </rPr>
      <t xml:space="preserve">（視需要）</t>
    </r>
  </si>
  <si>
    <r>
      <rPr>
        <sz val="10"/>
        <rFont val="Microsoft JhengHei"/>
        <family val="0"/>
        <charset val="1"/>
      </rPr>
      <t xml:space="preserve">6) </t>
    </r>
    <r>
      <rPr>
        <sz val="10"/>
        <rFont val="Noto Sans CJK SC"/>
        <family val="2"/>
      </rPr>
      <t xml:space="preserve">檢查「教師節數核對」「未配課警示」全部打勾後，即可交排課引擎。</t>
    </r>
  </si>
  <si>
    <t xml:space="preserve">【顏色規則】藍字=手動輸入；黑字=公式，請勿修改；黃底=待確認資料。</t>
  </si>
  <si>
    <t xml:space="preserve">【注意】配課表中導師科目以公式自動帶入導師姓名，如需改由他人授課，直接輸入姓名覆蓋即可。</t>
  </si>
  <si>
    <t xml:space="preserve">【v3.1 修訂 2026/7/9】依114本土語名單(Google試算表)修整：</t>
  </si>
  <si>
    <r>
      <rPr>
        <sz val="10"/>
        <rFont val="Microsoft JhengHei"/>
        <family val="0"/>
        <charset val="1"/>
      </rPr>
      <t xml:space="preserve">1. </t>
    </r>
    <r>
      <rPr>
        <sz val="10"/>
        <rFont val="Noto Sans CJK SC"/>
        <family val="2"/>
      </rPr>
      <t xml:space="preserve">新增「本土語分組」：各年級語別分組、直播教師、場地、協同教師</t>
    </r>
    <r>
      <rPr>
        <sz val="10"/>
        <rFont val="Microsoft JhengHei"/>
        <family val="0"/>
        <charset val="1"/>
      </rPr>
      <t xml:space="preserve">(114</t>
    </r>
    <r>
      <rPr>
        <sz val="10"/>
        <rFont val="Noto Sans CJK SC"/>
        <family val="2"/>
      </rPr>
      <t xml:space="preserve">參考值</t>
    </r>
    <r>
      <rPr>
        <sz val="10"/>
        <rFont val="Microsoft JhengHei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</si>
  <si>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Microsoft JhengHei"/>
        <family val="0"/>
        <charset val="1"/>
      </rPr>
      <t xml:space="preserve">2. </t>
    </r>
    <r>
      <rPr>
        <sz val="10"/>
        <rFont val="Noto Sans CJK SC"/>
        <family val="2"/>
      </rPr>
      <t xml:space="preserve">新增「場地封鎖」：直播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客語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手語佔用時段，該場地不得另排課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含電腦教室週二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節</t>
    </r>
    <r>
      <rPr>
        <sz val="10"/>
        <rFont val="Microsoft JhengHei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</si>
  <si>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Microsoft JhengHei"/>
        <family val="0"/>
        <charset val="1"/>
      </rPr>
      <t xml:space="preserve">3. </t>
    </r>
    <r>
      <rPr>
        <sz val="10"/>
        <rFont val="Noto Sans CJK SC"/>
        <family val="2"/>
      </rPr>
      <t xml:space="preserve">固定課鎖定預填</t>
    </r>
    <r>
      <rPr>
        <sz val="10"/>
        <rFont val="Microsoft JhengHei"/>
        <family val="0"/>
        <charset val="1"/>
      </rPr>
      <t xml:space="preserve">16</t>
    </r>
    <r>
      <rPr>
        <sz val="10"/>
        <rFont val="Noto Sans CJK SC"/>
        <family val="2"/>
      </rPr>
      <t xml:space="preserve">班本土語文</t>
    </r>
    <r>
      <rPr>
        <sz val="10"/>
        <rFont val="Microsoft JhengHei"/>
        <family val="0"/>
        <charset val="1"/>
      </rPr>
      <t xml:space="preserve">=</t>
    </r>
    <r>
      <rPr>
        <sz val="10"/>
        <rFont val="Noto Sans CJK SC"/>
        <family val="2"/>
      </rPr>
      <t xml:space="preserve">週二第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年級</t>
    </r>
    <r>
      <rPr>
        <sz val="10"/>
        <rFont val="Microsoft JhengHei"/>
        <family val="0"/>
        <charset val="1"/>
      </rPr>
      <t xml:space="preserve">)</t>
    </r>
    <r>
      <rPr>
        <sz val="10"/>
        <rFont val="Noto Sans CJK SC"/>
        <family val="2"/>
      </rPr>
      <t xml:space="preserve">節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鎖定</t>
    </r>
    <r>
      <rPr>
        <sz val="10"/>
        <rFont val="Microsoft JhengHei"/>
        <family val="0"/>
        <charset val="1"/>
      </rPr>
      <t xml:space="preserve">)</t>
    </r>
    <r>
      <rPr>
        <sz val="10"/>
        <rFont val="Noto Sans CJK SC"/>
        <family val="2"/>
      </rPr>
      <t xml:space="preserve">；規則新增</t>
    </r>
    <r>
      <rPr>
        <sz val="10"/>
        <rFont val="Microsoft JhengHei"/>
        <family val="0"/>
        <charset val="1"/>
      </rPr>
      <t xml:space="preserve">H14~H16</t>
    </r>
    <r>
      <rPr>
        <sz val="10"/>
        <rFont val="Noto Sans CJK SC"/>
        <family val="2"/>
      </rPr>
      <t xml:space="preserve">。</t>
    </r>
  </si>
  <si>
    <r>
      <rPr>
        <sz val="10"/>
        <rFont val="Microsoft JhengHei"/>
        <family val="0"/>
        <charset val="1"/>
      </rPr>
      <t xml:space="preserve">4. </t>
    </r>
    <r>
      <rPr>
        <sz val="10"/>
        <rFont val="Noto Sans CJK SC"/>
        <family val="2"/>
      </rPr>
      <t xml:space="preserve">節次結構加早自習列；場地表加輔導室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微型圖書館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英語教室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檔案室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幼兒園二樓。</t>
    </r>
  </si>
  <si>
    <r>
      <rPr>
        <sz val="10"/>
        <rFont val="Microsoft JhengHei"/>
        <family val="0"/>
        <charset val="1"/>
      </rPr>
      <t xml:space="preserve">5. </t>
    </r>
    <r>
      <rPr>
        <sz val="10"/>
        <rFont val="Noto Sans CJK SC"/>
        <family val="2"/>
      </rPr>
      <t xml:space="preserve">教師時段限制預填直播協同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萬芳妤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卜芊芸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林妤蔚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江志宏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邱梅英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李宥榆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趙曉蕓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陳羽祺</t>
    </r>
    <r>
      <rPr>
        <sz val="10"/>
        <rFont val="Microsoft JhengHei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</si>
  <si>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學校名稱</t>
  </si>
  <si>
    <t xml:space="preserve">○○國小</t>
  </si>
  <si>
    <t xml:space="preserve">學年度</t>
  </si>
  <si>
    <t xml:space="preserve">縣市</t>
  </si>
  <si>
    <t xml:space="preserve">○○市</t>
  </si>
  <si>
    <t xml:space="preserve">班級數(自動)</t>
  </si>
  <si>
    <t xml:space="preserve">教師數(自動)</t>
  </si>
  <si>
    <t xml:space="preserve">容量上限</t>
  </si>
  <si>
    <r>
      <rPr>
        <sz val="10"/>
        <color rgb="FF0000FF"/>
        <rFont val="Microsoft JhengHei"/>
        <family val="0"/>
        <charset val="1"/>
      </rPr>
      <t xml:space="preserve">40</t>
    </r>
    <r>
      <rPr>
        <sz val="10"/>
        <color rgb="FF0000FF"/>
        <rFont val="Noto Sans CJK SC"/>
        <family val="2"/>
      </rPr>
      <t xml:space="preserve">班／</t>
    </r>
    <r>
      <rPr>
        <sz val="10"/>
        <color rgb="FF0000FF"/>
        <rFont val="Microsoft JhengHei"/>
        <family val="0"/>
        <charset val="1"/>
      </rPr>
      <t xml:space="preserve">60</t>
    </r>
    <r>
      <rPr>
        <sz val="10"/>
        <color rgb="FF0000FF"/>
        <rFont val="Noto Sans CJK SC"/>
        <family val="2"/>
      </rPr>
      <t xml:space="preserve">名教師／</t>
    </r>
    <r>
      <rPr>
        <sz val="10"/>
        <color rgb="FF0000FF"/>
        <rFont val="Microsoft JhengHei"/>
        <family val="0"/>
        <charset val="1"/>
      </rPr>
      <t xml:space="preserve">24</t>
    </r>
    <r>
      <rPr>
        <sz val="10"/>
        <color rgb="FF0000FF"/>
        <rFont val="Noto Sans CJK SC"/>
        <family val="2"/>
      </rPr>
      <t xml:space="preserve">科目；超過請聯絡維護者擴充</t>
    </r>
  </si>
  <si>
    <t xml:space="preserve">節次代碼</t>
  </si>
  <si>
    <t xml:space="preserve">名稱</t>
  </si>
  <si>
    <t xml:space="preserve">開始</t>
  </si>
  <si>
    <t xml:space="preserve">結束</t>
  </si>
  <si>
    <t xml:space="preserve">屬性</t>
  </si>
  <si>
    <t xml:space="preserve">早</t>
  </si>
  <si>
    <t xml:space="preserve">早自習</t>
  </si>
  <si>
    <t xml:space="preserve">8:00</t>
  </si>
  <si>
    <t xml:space="preserve">8:40</t>
  </si>
  <si>
    <t xml:space="preserve">早自習/僅限指定課程(新住民語等)，不佔正課</t>
  </si>
  <si>
    <t xml:space="preserve">第1節</t>
  </si>
  <si>
    <t xml:space="preserve">8:50</t>
  </si>
  <si>
    <t xml:space="preserve">9:30</t>
  </si>
  <si>
    <t xml:space="preserve">正課</t>
  </si>
  <si>
    <t xml:space="preserve">第2節</t>
  </si>
  <si>
    <t xml:space="preserve">9:40</t>
  </si>
  <si>
    <t xml:space="preserve">10:20</t>
  </si>
  <si>
    <t xml:space="preserve">第3節</t>
  </si>
  <si>
    <t xml:space="preserve">10:30</t>
  </si>
  <si>
    <t xml:space="preserve">11:10</t>
  </si>
  <si>
    <t xml:space="preserve">第4節</t>
  </si>
  <si>
    <t xml:space="preserve">11:20</t>
  </si>
  <si>
    <t xml:space="preserve">12:00</t>
  </si>
  <si>
    <t xml:space="preserve">午休</t>
  </si>
  <si>
    <t xml:space="preserve">13:30</t>
  </si>
  <si>
    <t xml:space="preserve">午休/不可排</t>
  </si>
  <si>
    <t xml:space="preserve">第5節</t>
  </si>
  <si>
    <t xml:space="preserve">14:10</t>
  </si>
  <si>
    <t xml:space="preserve">第6節</t>
  </si>
  <si>
    <t xml:space="preserve">14:20</t>
  </si>
  <si>
    <t xml:space="preserve">15:00</t>
  </si>
  <si>
    <t xml:space="preserve">第7節</t>
  </si>
  <si>
    <t xml:space="preserve">15:10</t>
  </si>
  <si>
    <t xml:space="preserve">15:50</t>
  </si>
  <si>
    <t xml:space="preserve">年級</t>
  </si>
  <si>
    <t xml:space="preserve">一1</t>
  </si>
  <si>
    <t xml:space="preserve">一2</t>
  </si>
  <si>
    <t xml:space="preserve">一3</t>
  </si>
  <si>
    <t xml:space="preserve">一4</t>
  </si>
  <si>
    <t xml:space="preserve">一5</t>
  </si>
  <si>
    <t xml:space="preserve">一6</t>
  </si>
  <si>
    <t xml:space="preserve">一7</t>
  </si>
  <si>
    <t xml:space="preserve">二1</t>
  </si>
  <si>
    <t xml:space="preserve">二2</t>
  </si>
  <si>
    <t xml:space="preserve">二3</t>
  </si>
  <si>
    <t xml:space="preserve">二4</t>
  </si>
  <si>
    <t xml:space="preserve">二5</t>
  </si>
  <si>
    <t xml:space="preserve">二6</t>
  </si>
  <si>
    <t xml:space="preserve">二7</t>
  </si>
  <si>
    <t xml:space="preserve">三1</t>
  </si>
  <si>
    <t xml:space="preserve">三2</t>
  </si>
  <si>
    <t xml:space="preserve">三3</t>
  </si>
  <si>
    <t xml:space="preserve">三4</t>
  </si>
  <si>
    <t xml:space="preserve">三5</t>
  </si>
  <si>
    <t xml:space="preserve">三6</t>
  </si>
  <si>
    <t xml:space="preserve">三7</t>
  </si>
  <si>
    <t xml:space="preserve">四1</t>
  </si>
  <si>
    <t xml:space="preserve">四2</t>
  </si>
  <si>
    <t xml:space="preserve">四3</t>
  </si>
  <si>
    <t xml:space="preserve">四4</t>
  </si>
  <si>
    <t xml:space="preserve">四5</t>
  </si>
  <si>
    <t xml:space="preserve">四6</t>
  </si>
  <si>
    <t xml:space="preserve">四7</t>
  </si>
  <si>
    <t xml:space="preserve">五1</t>
  </si>
  <si>
    <t xml:space="preserve">五2</t>
  </si>
  <si>
    <t xml:space="preserve">五3</t>
  </si>
  <si>
    <t xml:space="preserve">五4</t>
  </si>
  <si>
    <t xml:space="preserve">五5</t>
  </si>
  <si>
    <t xml:space="preserve">五6</t>
  </si>
  <si>
    <t xml:space="preserve">五7</t>
  </si>
  <si>
    <t xml:space="preserve">合計</t>
  </si>
  <si>
    <t xml:space="preserve">目標</t>
  </si>
  <si>
    <t xml:space="preserve">檢核</t>
  </si>
  <si>
    <r>
      <rPr>
        <i val="true"/>
        <sz val="9"/>
        <rFont val="Microsoft JhengHei"/>
        <family val="0"/>
        <charset val="1"/>
      </rPr>
      <t xml:space="preserve">1=</t>
    </r>
    <r>
      <rPr>
        <i val="true"/>
        <sz val="9"/>
        <rFont val="Noto Sans CJK SC"/>
        <family val="2"/>
      </rPr>
      <t xml:space="preserve">可排、</t>
    </r>
    <r>
      <rPr>
        <i val="true"/>
        <sz val="9"/>
        <rFont val="Microsoft JhengHei"/>
        <family val="0"/>
        <charset val="1"/>
      </rPr>
      <t xml:space="preserve">0=</t>
    </r>
    <r>
      <rPr>
        <i val="true"/>
        <sz val="9"/>
        <rFont val="Noto Sans CJK SC"/>
        <family val="2"/>
      </rPr>
      <t xml:space="preserve">不可排。預設依</t>
    </r>
    <r>
      <rPr>
        <i val="true"/>
        <sz val="9"/>
        <rFont val="Microsoft JhengHei"/>
        <family val="0"/>
        <charset val="1"/>
      </rPr>
      <t xml:space="preserve">114-1</t>
    </r>
    <r>
      <rPr>
        <i val="true"/>
        <sz val="9"/>
        <rFont val="Noto Sans CJK SC"/>
        <family val="2"/>
      </rPr>
      <t xml:space="preserve">課表推定（低</t>
    </r>
    <r>
      <rPr>
        <i val="true"/>
        <sz val="9"/>
        <rFont val="Microsoft JhengHei"/>
        <family val="0"/>
        <charset val="1"/>
      </rPr>
      <t xml:space="preserve">:</t>
    </r>
    <r>
      <rPr>
        <i val="true"/>
        <sz val="9"/>
        <rFont val="Noto Sans CJK SC"/>
        <family val="2"/>
      </rPr>
      <t xml:space="preserve">週二下午</t>
    </r>
    <r>
      <rPr>
        <i val="true"/>
        <sz val="9"/>
        <rFont val="Microsoft JhengHei"/>
        <family val="0"/>
        <charset val="1"/>
      </rPr>
      <t xml:space="preserve">/</t>
    </r>
    <r>
      <rPr>
        <i val="true"/>
        <sz val="9"/>
        <rFont val="Noto Sans CJK SC"/>
        <family val="2"/>
      </rPr>
      <t xml:space="preserve">中</t>
    </r>
    <r>
      <rPr>
        <i val="true"/>
        <sz val="9"/>
        <rFont val="Microsoft JhengHei"/>
        <family val="0"/>
        <charset val="1"/>
      </rPr>
      <t xml:space="preserve">:</t>
    </r>
    <r>
      <rPr>
        <i val="true"/>
        <sz val="9"/>
        <rFont val="Noto Sans CJK SC"/>
        <family val="2"/>
      </rPr>
      <t xml:space="preserve">一二四</t>
    </r>
    <r>
      <rPr>
        <i val="true"/>
        <sz val="9"/>
        <rFont val="Microsoft JhengHei"/>
        <family val="0"/>
        <charset val="1"/>
      </rPr>
      <t xml:space="preserve">/</t>
    </r>
    <r>
      <rPr>
        <i val="true"/>
        <sz val="9"/>
        <rFont val="Noto Sans CJK SC"/>
        <family val="2"/>
      </rPr>
      <t xml:space="preserve">高</t>
    </r>
    <r>
      <rPr>
        <i val="true"/>
        <sz val="9"/>
        <rFont val="Microsoft JhengHei"/>
        <family val="0"/>
        <charset val="1"/>
      </rPr>
      <t xml:space="preserve">:</t>
    </r>
    <r>
      <rPr>
        <i val="true"/>
        <sz val="9"/>
        <rFont val="Noto Sans CJK SC"/>
        <family val="2"/>
      </rPr>
      <t xml:space="preserve">一二四五；週三下午全校不排），請依實際修改。</t>
    </r>
  </si>
  <si>
    <t xml:space="preserve">room_id</t>
  </si>
  <si>
    <t xml:space="preserve">場地名稱</t>
  </si>
  <si>
    <t xml:space="preserve">同時段容量(班)</t>
  </si>
  <si>
    <t xml:space="preserve">備註</t>
  </si>
  <si>
    <t xml:space="preserve">本土語徵用順位</t>
  </si>
  <si>
    <t xml:space="preserve">R00</t>
  </si>
  <si>
    <t xml:space="preserve">普通教室(原班)</t>
  </si>
  <si>
    <t xml:space="preserve">各班自有教室，不互相衝突</t>
  </si>
  <si>
    <t xml:space="preserve">R01</t>
  </si>
  <si>
    <t xml:space="preserve">自然教室</t>
  </si>
  <si>
    <t xml:space="preserve">請依貴校實際教室數調整容量</t>
  </si>
  <si>
    <t xml:space="preserve">R02</t>
  </si>
  <si>
    <t xml:space="preserve">音樂教室</t>
  </si>
  <si>
    <t xml:space="preserve">R03</t>
  </si>
  <si>
    <t xml:space="preserve">電腦教室</t>
  </si>
  <si>
    <t xml:space="preserve">R04</t>
  </si>
  <si>
    <t xml:space="preserve">操場/體育館</t>
  </si>
  <si>
    <t xml:space="preserve">雨天備案與容量請依實際修改</t>
  </si>
  <si>
    <t xml:space="preserve">R05</t>
  </si>
  <si>
    <t xml:space="preserve">視聽教室</t>
  </si>
  <si>
    <t xml:space="preserve">備用</t>
  </si>
  <si>
    <t xml:space="preserve">R06</t>
  </si>
  <si>
    <t xml:space="preserve">圖書室</t>
  </si>
  <si>
    <t xml:space="preserve">R07</t>
  </si>
  <si>
    <t xml:space="preserve">輔導室</t>
  </si>
  <si>
    <t xml:space="preserve">本土語分組用（範例）</t>
  </si>
  <si>
    <t xml:space="preserve">R08</t>
  </si>
  <si>
    <t xml:space="preserve">微型圖書館</t>
  </si>
  <si>
    <t xml:space="preserve">R09</t>
  </si>
  <si>
    <t xml:space="preserve">英語教室</t>
  </si>
  <si>
    <t xml:space="preserve">R10</t>
  </si>
  <si>
    <t xml:space="preserve">檔案室</t>
  </si>
  <si>
    <t xml:space="preserve">R11</t>
  </si>
  <si>
    <t xml:space="preserve">幼兒園二樓</t>
  </si>
  <si>
    <t xml:space="preserve">徵用順位：本土語實體分組未指定教室時，引擎依順位自動選用並封鎖該時段（英語教室、自然教室等可列入）。</t>
  </si>
  <si>
    <t xml:space="preserve">operation_subject_id</t>
  </si>
  <si>
    <t xml:space="preserve">操作科目</t>
  </si>
  <si>
    <t xml:space="preserve">curriculum_slot_id</t>
  </si>
  <si>
    <t xml:space="preserve">課綱歸屬</t>
  </si>
  <si>
    <t xml:space="preserve">課程類型</t>
  </si>
  <si>
    <t xml:space="preserve">一</t>
  </si>
  <si>
    <t xml:space="preserve">二</t>
  </si>
  <si>
    <t xml:space="preserve">三</t>
  </si>
  <si>
    <t xml:space="preserve">四</t>
  </si>
  <si>
    <t xml:space="preserve">五</t>
  </si>
  <si>
    <t xml:space="preserve">六</t>
  </si>
  <si>
    <t xml:space="preserve">預設授課身份</t>
  </si>
  <si>
    <t xml:space="preserve">預設場地room_id</t>
  </si>
  <si>
    <t xml:space="preserve">每週最少分散天數</t>
  </si>
  <si>
    <t xml:space="preserve">連堂需求</t>
  </si>
  <si>
    <t xml:space="preserve">禁排節次</t>
  </si>
  <si>
    <t xml:space="preserve">連堂場地模式</t>
  </si>
  <si>
    <t xml:space="preserve">OP01</t>
  </si>
  <si>
    <t xml:space="preserve">國語文</t>
  </si>
  <si>
    <t xml:space="preserve">CUR-A01</t>
  </si>
  <si>
    <t xml:space="preserve">領域</t>
  </si>
  <si>
    <t xml:space="preserve">導師</t>
  </si>
  <si>
    <t xml:space="preserve">OP02</t>
  </si>
  <si>
    <t xml:space="preserve">本土語文</t>
  </si>
  <si>
    <t xml:space="preserve">CUR-A02</t>
  </si>
  <si>
    <t xml:space="preserve">本土語文/新住民語文</t>
  </si>
  <si>
    <t xml:space="preserve">科任</t>
  </si>
  <si>
    <t xml:space="preserve">全年級同時段分組跑班；直播共學時段依當學年公告填入固定課鎖定</t>
  </si>
  <si>
    <t xml:space="preserve">OP03</t>
  </si>
  <si>
    <t xml:space="preserve">英語文</t>
  </si>
  <si>
    <t xml:space="preserve">CUR-A03</t>
  </si>
  <si>
    <t xml:space="preserve">OP04</t>
  </si>
  <si>
    <t xml:space="preserve">數學</t>
  </si>
  <si>
    <t xml:space="preserve">CUR-A04</t>
  </si>
  <si>
    <t xml:space="preserve">有資源班學生之班級需與overlay連動</t>
  </si>
  <si>
    <t xml:space="preserve">OP05</t>
  </si>
  <si>
    <t xml:space="preserve">生活課程</t>
  </si>
  <si>
    <t xml:space="preserve">CUR-A05</t>
  </si>
  <si>
    <t xml:space="preserve">低年級如拆節數給音樂等科任，請自行調整本表節數</t>
  </si>
  <si>
    <t xml:space="preserve">OP06</t>
  </si>
  <si>
    <t xml:space="preserve">社會</t>
  </si>
  <si>
    <t xml:space="preserve">CUR-A06</t>
  </si>
  <si>
    <t xml:space="preserve">OP07</t>
  </si>
  <si>
    <t xml:space="preserve">自然科學</t>
  </si>
  <si>
    <t xml:space="preserve">CUR-A07</t>
  </si>
  <si>
    <t xml:space="preserve">2+1</t>
  </si>
  <si>
    <t xml:space="preserve">硬規格8：2+1分兩天，連兩節不跨午休；場地不足可改「連堂科任+單節原班」</t>
  </si>
  <si>
    <t xml:space="preserve">全程指定場地</t>
  </si>
  <si>
    <t xml:space="preserve">OP08</t>
  </si>
  <si>
    <t xml:space="preserve">音樂</t>
  </si>
  <si>
    <t xml:space="preserve">CUR-A08</t>
  </si>
  <si>
    <t xml:space="preserve">藝術</t>
  </si>
  <si>
    <t xml:space="preserve">低年級由生活課程拆出</t>
  </si>
  <si>
    <t xml:space="preserve">OP09</t>
  </si>
  <si>
    <t xml:space="preserve">視覺藝術</t>
  </si>
  <si>
    <r>
      <rPr>
        <sz val="10"/>
        <color rgb="FF0000FF"/>
        <rFont val="Microsoft JhengHei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連堂</t>
    </r>
  </si>
  <si>
    <t xml:space="preserve">需連續兩節</t>
  </si>
  <si>
    <t xml:space="preserve">OP10</t>
  </si>
  <si>
    <t xml:space="preserve">綜合活動</t>
  </si>
  <si>
    <t xml:space="preserve">CUR-A09</t>
  </si>
  <si>
    <t xml:space="preserve">OP11</t>
  </si>
  <si>
    <t xml:space="preserve">健康</t>
  </si>
  <si>
    <t xml:space="preserve">CUR-A10</t>
  </si>
  <si>
    <t xml:space="preserve">健康與體育</t>
  </si>
  <si>
    <t xml:space="preserve">OP12</t>
  </si>
  <si>
    <t xml:space="preserve">體育</t>
  </si>
  <si>
    <t xml:space="preserve">4,5</t>
  </si>
  <si>
    <t xml:space="preserve">硬規格6：不排第4、5節</t>
  </si>
  <si>
    <t xml:space="preserve">OP13</t>
  </si>
  <si>
    <t xml:space="preserve">校訂A</t>
  </si>
  <si>
    <t xml:space="preserve">CUR-B01</t>
  </si>
  <si>
    <t xml:space="preserve">彈性-統整探究</t>
  </si>
  <si>
    <t xml:space="preserve">彈性</t>
  </si>
  <si>
    <t xml:space="preserve">範例：請改為貴校校訂課程名稱、節數與場地</t>
  </si>
  <si>
    <t xml:space="preserve">OP14</t>
  </si>
  <si>
    <t xml:space="preserve">校訂B</t>
  </si>
  <si>
    <t xml:space="preserve">CUR-B02</t>
  </si>
  <si>
    <t xml:space="preserve">OP15</t>
  </si>
  <si>
    <t xml:space="preserve">校訂C</t>
  </si>
  <si>
    <t xml:space="preserve">CUR-B03</t>
  </si>
  <si>
    <t xml:space="preserve">OP16</t>
  </si>
  <si>
    <t xml:space="preserve">校訂D</t>
  </si>
  <si>
    <t xml:space="preserve">CUR-B04</t>
  </si>
  <si>
    <t xml:space="preserve">OP17</t>
  </si>
  <si>
    <t xml:space="preserve">校訂E</t>
  </si>
  <si>
    <t xml:space="preserve">CUR-B05</t>
  </si>
  <si>
    <t xml:space="preserve">OP18</t>
  </si>
  <si>
    <t xml:space="preserve">校訂F</t>
  </si>
  <si>
    <t xml:space="preserve">CUR-B06</t>
  </si>
  <si>
    <t xml:space="preserve">彈性-其他類</t>
  </si>
  <si>
    <t xml:space="preserve">合計檢核</t>
  </si>
  <si>
    <t xml:space="preserve">固定時段</t>
  </si>
  <si>
    <t xml:space="preserve">節次</t>
  </si>
  <si>
    <t xml:space="preserve">語別</t>
  </si>
  <si>
    <t xml:space="preserve">人數</t>
  </si>
  <si>
    <t xml:space="preserve">授課教師/直播教師</t>
  </si>
  <si>
    <t xml:space="preserve">場地room_id</t>
  </si>
  <si>
    <t xml:space="preserve">協同教師</t>
  </si>
  <si>
    <t xml:space="preserve">週二</t>
  </si>
  <si>
    <t xml:space="preserve">閩南語</t>
  </si>
  <si>
    <t xml:space="preserve">○教支</t>
  </si>
  <si>
    <t xml:space="preserve">範例列：依貴校語別分組填寫</t>
  </si>
  <si>
    <t xml:space="preserve">原民語(直播)</t>
  </si>
  <si>
    <t xml:space="preserve">直播教師</t>
  </si>
  <si>
    <t xml:space="preserve">範例列</t>
  </si>
  <si>
    <t xml:space="preserve">引擎自動推導：場地封鎖與協同教師限制由本表自動產生。</t>
  </si>
  <si>
    <t xml:space="preserve">rule_id</t>
  </si>
  <si>
    <t xml:space="preserve">硬/軟</t>
  </si>
  <si>
    <t xml:space="preserve">類別</t>
  </si>
  <si>
    <t xml:space="preserve">規則內容</t>
  </si>
  <si>
    <t xml:space="preserve">參數/權重</t>
  </si>
  <si>
    <t xml:space="preserve">是否啟用</t>
  </si>
  <si>
    <t xml:space="preserve">H01</t>
  </si>
  <si>
    <t xml:space="preserve">硬</t>
  </si>
  <si>
    <t xml:space="preserve">衝堂</t>
  </si>
  <si>
    <t xml:space="preserve">同一教師同時段不得任教兩班</t>
  </si>
  <si>
    <t xml:space="preserve">-</t>
  </si>
  <si>
    <t xml:space="preserve">是</t>
  </si>
  <si>
    <t xml:space="preserve">H02</t>
  </si>
  <si>
    <t xml:space="preserve">同一班級同時段不得排兩科</t>
  </si>
  <si>
    <t xml:space="preserve">H03</t>
  </si>
  <si>
    <t xml:space="preserve">場地</t>
  </si>
  <si>
    <t xml:space="preserve">同時段使用同場地班級數不得超過場地容量（見設定_場地表）</t>
  </si>
  <si>
    <t xml:space="preserve">H04</t>
  </si>
  <si>
    <t xml:space="preserve">時段</t>
  </si>
  <si>
    <t xml:space="preserve">午休不可排課</t>
  </si>
  <si>
    <t xml:space="preserve">H05</t>
  </si>
  <si>
    <t xml:space="preserve">各年段僅可排於「設定_年段時段」=1之時段（低23/中29/高32）</t>
  </si>
  <si>
    <t xml:space="preserve">H06</t>
  </si>
  <si>
    <t xml:space="preserve">科目</t>
  </si>
  <si>
    <t xml:space="preserve">體育不排第4、5節</t>
  </si>
  <si>
    <t xml:space="preserve">H07</t>
  </si>
  <si>
    <t xml:space="preserve">教師</t>
  </si>
  <si>
    <t xml:space="preserve">教師個人禁排時段（見教師時段限制，含生教組長第7節）</t>
  </si>
  <si>
    <t xml:space="preserve">H08</t>
  </si>
  <si>
    <t xml:space="preserve">自然科學每班2+1節、分兩天、連兩節不跨午休</t>
  </si>
  <si>
    <t xml:space="preserve">H09</t>
  </si>
  <si>
    <t xml:space="preserve">視覺藝術需連續兩節</t>
  </si>
  <si>
    <t xml:space="preserve">H10</t>
  </si>
  <si>
    <t xml:space="preserve">固定課</t>
  </si>
  <si>
    <t xml:space="preserve">固定課鎖定不可移動、不可額外增加節數、不可違反其他硬規則</t>
  </si>
  <si>
    <t xml:space="preserve">H11</t>
  </si>
  <si>
    <t xml:space="preserve">場地由科目自動帶出，僅允許「場地例外」分頁覆寫(room_override)</t>
  </si>
  <si>
    <t xml:space="preserve">H12</t>
  </si>
  <si>
    <t xml:space="preserve">配課</t>
  </si>
  <si>
    <t xml:space="preserve">未配教師之課程不硬排，列入未配課警示</t>
  </si>
  <si>
    <t xml:space="preserve">H13</t>
  </si>
  <si>
    <t xml:space="preserve">資源班</t>
  </si>
  <si>
    <t xml:space="preserve">資源班以overlay疊加，不覆蓋原班課表</t>
  </si>
  <si>
    <t xml:space="preserve">S01</t>
  </si>
  <si>
    <t xml:space="preserve">軟</t>
  </si>
  <si>
    <t xml:space="preserve">偏好</t>
  </si>
  <si>
    <t xml:space="preserve">國語文優先排上午</t>
  </si>
  <si>
    <t xml:space="preserve">penalty=4</t>
  </si>
  <si>
    <t xml:space="preserve">S02</t>
  </si>
  <si>
    <t xml:space="preserve">數學優先排上午</t>
  </si>
  <si>
    <t xml:space="preserve">S03</t>
  </si>
  <si>
    <t xml:space="preserve">體育避免連兩天</t>
  </si>
  <si>
    <t xml:space="preserve">penalty=2</t>
  </si>
  <si>
    <t xml:space="preserve">S04</t>
  </si>
  <si>
    <t xml:space="preserve">自然科學避免連兩天</t>
  </si>
  <si>
    <t xml:space="preserve">S05</t>
  </si>
  <si>
    <t xml:space="preserve">行政教師(主任/組長)空堂集中</t>
  </si>
  <si>
    <t xml:space="preserve">S06</t>
  </si>
  <si>
    <t xml:space="preserve">盡量保留去年課表（固定課鎖定類型=偏好）</t>
  </si>
  <si>
    <t xml:space="preserve">penalty=1</t>
  </si>
  <si>
    <t xml:space="preserve">S07</t>
  </si>
  <si>
    <t xml:space="preserve">減少教師同一天跨場地移動</t>
  </si>
  <si>
    <t xml:space="preserve">S08</t>
  </si>
  <si>
    <t xml:space="preserve">負荷</t>
  </si>
  <si>
    <t xml:space="preserve">科任一天不超過6節，以5節為佳</t>
  </si>
  <si>
    <t xml:space="preserve">S09</t>
  </si>
  <si>
    <t xml:space="preserve">導師一天不超過5節，以4節為佳</t>
  </si>
  <si>
    <t xml:space="preserve">H14</t>
  </si>
  <si>
    <t xml:space="preserve">本土語</t>
  </si>
  <si>
    <t xml:space="preserve">本土語文各年級全年級同時段分組實施；原民語直播共學固定一~六年級=週二第1~6節(外部排定，不可移動)</t>
  </si>
  <si>
    <t xml:space="preserve">H15</t>
  </si>
  <si>
    <t xml:space="preserve">本土語封鎖時段之場地(見場地封鎖)與協同教師(見教師時段限制)不得另排課</t>
  </si>
  <si>
    <t xml:space="preserve">H16</t>
  </si>
  <si>
    <t xml:space="preserve">早自習實施之新住民語(越南/印尼)不佔正課節數，不參與正課衝堂運算</t>
  </si>
  <si>
    <t xml:space="preserve">H17</t>
  </si>
  <si>
    <t xml:space="preserve">時段限制</t>
  </si>
  <si>
    <t xml:space="preserve">自訂時段限制：對象可為教師／年級（學年共同時間）／班級；表留空即不啟用</t>
  </si>
  <si>
    <t xml:space="preserve">角色</t>
  </si>
  <si>
    <t xml:space="preserve">基本授課節數</t>
  </si>
  <si>
    <t xml:space="preserve">說明</t>
  </si>
  <si>
    <t xml:space="preserve">對應一個班級，主授國語、數學等導師科目</t>
  </si>
  <si>
    <t xml:space="preserve">跑班授課</t>
  </si>
  <si>
    <t xml:space="preserve">組長</t>
  </si>
  <si>
    <t xml:space="preserve">教師兼任行政組長</t>
  </si>
  <si>
    <t xml:space="preserve">主任</t>
  </si>
  <si>
    <t xml:space="preserve">教師兼任行政主任</t>
  </si>
  <si>
    <t xml:space="preserve">鐘點教師</t>
  </si>
  <si>
    <t xml:space="preserve">依實際聘任節數</t>
  </si>
  <si>
    <t xml:space="preserve">其他</t>
  </si>
  <si>
    <t xml:space="preserve">請於備註說明實際節數</t>
  </si>
  <si>
    <t xml:space="preserve">姓名</t>
  </si>
  <si>
    <t xml:space="preserve">基本節數</t>
  </si>
  <si>
    <t xml:space="preserve">任務減課節數</t>
  </si>
  <si>
    <t xml:space="preserve">應排課節數</t>
  </si>
  <si>
    <t xml:space="preserve">王導師</t>
  </si>
  <si>
    <t xml:space="preserve">範例列：請替換為貴校教師</t>
  </si>
  <si>
    <t xml:space="preserve">李科任</t>
  </si>
  <si>
    <t xml:space="preserve">張主任</t>
  </si>
  <si>
    <t xml:space="preserve">陳組長</t>
  </si>
  <si>
    <t xml:space="preserve">資源教師甲</t>
  </si>
  <si>
    <t xml:space="preserve">範例列：資源班教師</t>
  </si>
  <si>
    <t xml:space="preserve">待聘(鐘點)</t>
  </si>
  <si>
    <t xml:space="preserve">缺額請填「待聘(鐘點)」，自動彙總鐘點需求</t>
  </si>
  <si>
    <t xml:space="preserve">對象(教師/年級/班級)</t>
  </si>
  <si>
    <t xml:space="preserve">星期</t>
  </si>
  <si>
    <t xml:space="preserve">類型</t>
  </si>
  <si>
    <t xml:space="preserve">原因</t>
  </si>
  <si>
    <t xml:space="preserve">每日</t>
  </si>
  <si>
    <t xml:space="preserve">不可排</t>
  </si>
  <si>
    <t xml:space="preserve">範例：生教組長導護勤務</t>
  </si>
  <si>
    <r>
      <rPr>
        <i val="true"/>
        <sz val="10"/>
        <color rgb="FF808080"/>
        <rFont val="Microsoft JhengHei"/>
        <family val="0"/>
        <charset val="1"/>
      </rPr>
      <t xml:space="preserve">3</t>
    </r>
    <r>
      <rPr>
        <i val="true"/>
        <sz val="10"/>
        <color rgb="FF808080"/>
        <rFont val="Noto Sans CJK SC"/>
        <family val="2"/>
      </rPr>
      <t xml:space="preserve">年級</t>
    </r>
  </si>
  <si>
    <r>
      <rPr>
        <i val="true"/>
        <sz val="10"/>
        <color rgb="FF808080"/>
        <rFont val="Noto Sans CJK SC"/>
        <family val="2"/>
      </rPr>
      <t xml:space="preserve">範例：學年共同時間</t>
    </r>
    <r>
      <rPr>
        <i val="true"/>
        <sz val="10"/>
        <color rgb="FF808080"/>
        <rFont val="Microsoft JhengHei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需在年段時段另開他節</t>
    </r>
    <r>
      <rPr>
        <i val="true"/>
        <sz val="10"/>
        <color rgb="FF808080"/>
        <rFont val="Microsoft JhengHei"/>
        <family val="0"/>
        <charset val="1"/>
      </rPr>
      <t xml:space="preserve">)</t>
    </r>
  </si>
  <si>
    <r>
      <rPr>
        <i val="true"/>
        <sz val="9"/>
        <rFont val="Noto Sans CJK SC"/>
        <family val="2"/>
      </rPr>
      <t xml:space="preserve">對象可填：教師姓名（該師不排）、年級如「</t>
    </r>
    <r>
      <rPr>
        <i val="true"/>
        <sz val="9"/>
        <rFont val="Microsoft JhengHei"/>
        <family val="0"/>
        <charset val="1"/>
      </rPr>
      <t xml:space="preserve">3</t>
    </r>
    <r>
      <rPr>
        <i val="true"/>
        <sz val="9"/>
        <rFont val="Noto Sans CJK SC"/>
        <family val="2"/>
      </rPr>
      <t xml:space="preserve">年級」（留學年共同時間）、班級如「</t>
    </r>
    <r>
      <rPr>
        <i val="true"/>
        <sz val="9"/>
        <rFont val="Microsoft JhengHei"/>
        <family val="0"/>
        <charset val="1"/>
      </rPr>
      <t xml:space="preserve">3</t>
    </r>
    <r>
      <rPr>
        <i val="true"/>
        <sz val="9"/>
        <rFont val="Noto Sans CJK SC"/>
        <family val="2"/>
      </rPr>
      <t xml:space="preserve">甲」。填年級時請同步確認「設定</t>
    </r>
    <r>
      <rPr>
        <i val="true"/>
        <sz val="9"/>
        <rFont val="Microsoft JhengHei"/>
        <family val="0"/>
        <charset val="1"/>
      </rPr>
      <t xml:space="preserve">_</t>
    </r>
    <r>
      <rPr>
        <i val="true"/>
        <sz val="9"/>
        <rFont val="Noto Sans CJK SC"/>
        <family val="2"/>
      </rPr>
      <t xml:space="preserve">年段時段」總節數仍足夠（需另開放他時段）。留空＝不啟用。</t>
    </r>
  </si>
  <si>
    <t xml:space="preserve">班級代碼</t>
  </si>
  <si>
    <t xml:space="preserve">導師姓名</t>
  </si>
  <si>
    <t xml:space="preserve">是否有資源班學生</t>
  </si>
  <si>
    <r>
      <rPr>
        <i val="true"/>
        <sz val="10"/>
        <color rgb="FF808080"/>
        <rFont val="Microsoft JhengHei"/>
        <family val="0"/>
        <charset val="1"/>
      </rPr>
      <t xml:space="preserve">1</t>
    </r>
    <r>
      <rPr>
        <i val="true"/>
        <sz val="10"/>
        <color rgb="FF808080"/>
        <rFont val="Noto Sans CJK SC"/>
        <family val="2"/>
      </rPr>
      <t xml:space="preserve">甲</t>
    </r>
  </si>
  <si>
    <t xml:space="preserve">否</t>
  </si>
  <si>
    <t xml:space="preserve">範例列：請替換為貴校班級</t>
  </si>
  <si>
    <t xml:space="preserve">系統用，勿手動修改</t>
  </si>
  <si>
    <t xml:space="preserve">範例：本土語直播佔用電腦教室</t>
  </si>
  <si>
    <t xml:space="preserve">本表僅填「本土語以外」的封鎖需求（如場地維修）；本土語相關封鎖由引擎自「本土語分組」自動推導，重複填寫無妨（取聯集）。</t>
  </si>
  <si>
    <t xml:space="preserve">room_override</t>
  </si>
  <si>
    <t xml:space="preserve">範例：自然改於原班上課</t>
  </si>
  <si>
    <t xml:space="preserve">場地(自動帶出)</t>
  </si>
  <si>
    <t xml:space="preserve">類型說明：鎖定=硬規則不可移動（硬規格9）；偏好=軟規則，用於保留去年課表（軟規格6）</t>
  </si>
  <si>
    <t xml:space="preserve">鎖定</t>
  </si>
  <si>
    <t xml:space="preserve">範例：本土語直播共學固定時段</t>
  </si>
  <si>
    <t xml:space="preserve">已配節數合計</t>
  </si>
  <si>
    <t xml:space="preserve">差異</t>
  </si>
  <si>
    <t xml:space="preserve">狀態</t>
  </si>
  <si>
    <t xml:space="preserve">鐘點需求節數(配課填「待聘(鐘點)」)</t>
  </si>
  <si>
    <t xml:space="preserve">未配節數</t>
  </si>
  <si>
    <t xml:space="preserve">硬規格12：未配教師課程不硬排</t>
  </si>
  <si>
    <t xml:space="preserve">全校未配節數</t>
  </si>
  <si>
    <t xml:space="preserve">組別/學生代號</t>
  </si>
  <si>
    <t xml:space="preserve">原班班級代碼</t>
  </si>
  <si>
    <t xml:space="preserve">抽離操作科目</t>
  </si>
  <si>
    <t xml:space="preserve">資源班教師</t>
  </si>
  <si>
    <t xml:space="preserve">硬規格13：overlay疊加呈現，不覆蓋原班課表；抽離時段須與原班該科目時段一致（由排課引擎連動）</t>
  </si>
  <si>
    <r>
      <rPr>
        <i val="true"/>
        <sz val="10"/>
        <color rgb="FF808080"/>
        <rFont val="Microsoft JhengHei"/>
        <family val="0"/>
        <charset val="1"/>
      </rPr>
      <t xml:space="preserve">A</t>
    </r>
    <r>
      <rPr>
        <i val="true"/>
        <sz val="10"/>
        <color rgb="FF808080"/>
        <rFont val="Noto Sans CJK SC"/>
        <family val="2"/>
      </rPr>
      <t xml:space="preserve">組</t>
    </r>
  </si>
  <si>
    <t xml:space="preserve">範例：不填星期節次由引擎自排；一列=一節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</si>
</sst>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Microsoft JhengHei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Microsoft JhengHei"/>
      <family val="0"/>
      <charset val="1"/>
    </font>
    <font>
      <sz val="10"/>
      <color rgb="FF0000FF"/>
      <name val="Noto Sans CJK SC"/>
      <family val="2"/>
    </font>
    <font>
      <sz val="10"/>
      <color rgb="FF000000"/>
      <name val="Microsoft JhengHei"/>
      <family val="0"/>
      <charset val="1"/>
    </font>
    <font>
      <i val="true"/>
      <sz val="9"/>
      <name val="Microsoft JhengHei"/>
      <family val="0"/>
      <charset val="1"/>
    </font>
    <font>
      <i val="true"/>
      <sz val="9"/>
      <name val="Noto Sans CJK SC"/>
      <family val="2"/>
    </font>
    <font>
      <b val="true"/>
      <sz val="10"/>
      <color rgb="FFFFFFFF"/>
      <name val="Microsoft JhengHei"/>
      <family val="0"/>
      <charset val="1"/>
    </font>
    <font>
      <i val="true"/>
      <sz val="10"/>
      <color rgb="FF808080"/>
      <name val="Noto Sans CJK SC"/>
      <family val="2"/>
      <charset val="1"/>
    </font>
    <font>
      <i val="true"/>
      <sz val="9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i val="true"/>
      <sz val="10"/>
      <color rgb="FF808080"/>
      <name val="Microsoft JhengHei"/>
      <family val="0"/>
      <charset val="1"/>
    </font>
    <font>
      <i val="true"/>
      <sz val="10"/>
      <color rgb="FF80808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0"/>
  </cols>
  <sheetData>
    <row r="2" customFormat="false" ht="18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3" t="s">
        <v>2</v>
      </c>
    </row>
    <row r="5" customFormat="false" ht="15" hidden="false" customHeight="true" outlineLevel="0" collapsed="false">
      <c r="B5" s="4" t="s">
        <v>3</v>
      </c>
    </row>
    <row r="6" customFormat="false" ht="15" hidden="false" customHeight="true" outlineLevel="0" collapsed="false">
      <c r="B6" s="5" t="s">
        <v>4</v>
      </c>
    </row>
    <row r="7" customFormat="false" ht="15" hidden="false" customHeight="true" outlineLevel="0" collapsed="false">
      <c r="B7" s="3" t="s">
        <v>5</v>
      </c>
    </row>
    <row r="8" customFormat="false" ht="15" hidden="false" customHeight="true" outlineLevel="0" collapsed="false">
      <c r="B8" s="5" t="s">
        <v>6</v>
      </c>
    </row>
    <row r="9" customFormat="false" ht="15" hidden="false" customHeight="true" outlineLevel="0" collapsed="false">
      <c r="B9" s="5" t="s">
        <v>7</v>
      </c>
    </row>
    <row r="10" customFormat="false" ht="15" hidden="false" customHeight="true" outlineLevel="0" collapsed="false">
      <c r="B10" s="5" t="s">
        <v>8</v>
      </c>
    </row>
    <row r="11" customFormat="false" ht="15" hidden="false" customHeight="true" outlineLevel="0" collapsed="false">
      <c r="B11" s="5" t="s">
        <v>9</v>
      </c>
    </row>
    <row r="12" customFormat="false" ht="15" hidden="false" customHeight="true" outlineLevel="0" collapsed="false">
      <c r="B12" s="5" t="s">
        <v>10</v>
      </c>
    </row>
    <row r="13" customFormat="false" ht="15" hidden="false" customHeight="true" outlineLevel="0" collapsed="false">
      <c r="B13" s="5" t="s">
        <v>11</v>
      </c>
    </row>
    <row r="14" customFormat="false" ht="15" hidden="false" customHeight="true" outlineLevel="0" collapsed="false">
      <c r="B14" s="3"/>
    </row>
    <row r="15" customFormat="false" ht="15" hidden="false" customHeight="true" outlineLevel="0" collapsed="false">
      <c r="B15" s="4" t="s">
        <v>12</v>
      </c>
    </row>
    <row r="16" customFormat="false" ht="15" hidden="false" customHeight="true" outlineLevel="0" collapsed="false">
      <c r="B16" s="5" t="s">
        <v>13</v>
      </c>
    </row>
    <row r="17" customFormat="false" ht="15" hidden="false" customHeight="true" outlineLevel="0" collapsed="false">
      <c r="B17" s="5" t="s">
        <v>14</v>
      </c>
    </row>
    <row r="18" customFormat="false" ht="15" hidden="false" customHeight="true" outlineLevel="0" collapsed="false">
      <c r="B18" s="5" t="s">
        <v>15</v>
      </c>
    </row>
    <row r="19" customFormat="false" ht="15" hidden="false" customHeight="true" outlineLevel="0" collapsed="false">
      <c r="B19" s="5" t="s">
        <v>16</v>
      </c>
    </row>
    <row r="20" customFormat="false" ht="15" hidden="false" customHeight="true" outlineLevel="0" collapsed="false">
      <c r="B20" s="3"/>
    </row>
    <row r="21" customFormat="false" ht="15" hidden="false" customHeight="true" outlineLevel="0" collapsed="false">
      <c r="B21" s="4" t="s">
        <v>17</v>
      </c>
    </row>
    <row r="22" customFormat="false" ht="15" hidden="false" customHeight="true" outlineLevel="0" collapsed="false">
      <c r="B22" s="4" t="s">
        <v>18</v>
      </c>
    </row>
    <row r="25" customFormat="false" ht="15" hidden="false" customHeight="true" outlineLevel="0" collapsed="false">
      <c r="B25" s="3"/>
    </row>
    <row r="26" customFormat="false" ht="15" hidden="false" customHeight="true" outlineLevel="0" collapsed="false">
      <c r="B26" s="4" t="s">
        <v>19</v>
      </c>
    </row>
    <row r="27" customFormat="false" ht="15" hidden="false" customHeight="true" outlineLevel="0" collapsed="false">
      <c r="B27" s="5" t="s">
        <v>20</v>
      </c>
    </row>
    <row r="28" customFormat="false" ht="15" hidden="false" customHeight="true" outlineLevel="0" collapsed="false">
      <c r="B28" s="5" t="s">
        <v>21</v>
      </c>
    </row>
    <row r="29" customFormat="false" ht="15" hidden="false" customHeight="true" outlineLevel="0" collapsed="false">
      <c r="B29" s="5" t="s">
        <v>22</v>
      </c>
    </row>
    <row r="30" customFormat="false" ht="15" hidden="false" customHeight="true" outlineLevel="0" collapsed="false">
      <c r="B30" s="5" t="s">
        <v>23</v>
      </c>
    </row>
    <row r="31" customFormat="false" ht="15" hidden="false" customHeight="true" outlineLevel="0" collapsed="false">
      <c r="B31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0"/>
  </cols>
  <sheetData>
    <row r="1" customFormat="false" ht="15" hidden="false" customHeight="true" outlineLevel="0" collapsed="false">
      <c r="A1" s="6" t="s">
        <v>25</v>
      </c>
      <c r="B1" s="7" t="s">
        <v>26</v>
      </c>
    </row>
    <row r="2" customFormat="false" ht="15" hidden="false" customHeight="true" outlineLevel="0" collapsed="false">
      <c r="A2" s="6" t="s">
        <v>27</v>
      </c>
      <c r="B2" s="7" t="n">
        <v>115</v>
      </c>
    </row>
    <row r="3" customFormat="false" ht="15" hidden="false" customHeight="true" outlineLevel="0" collapsed="false">
      <c r="A3" s="6" t="s">
        <v>28</v>
      </c>
      <c r="B3" s="7" t="s">
        <v>29</v>
      </c>
    </row>
    <row r="4" customFormat="false" ht="15" hidden="false" customHeight="true" outlineLevel="0" collapsed="false">
      <c r="A4" s="6" t="s">
        <v>30</v>
      </c>
      <c r="B4" s="5" t="n">
        <f aca="false">COUNTA(班級基本資料!A2:A41)</f>
        <v>1</v>
      </c>
    </row>
    <row r="5" customFormat="false" ht="15" hidden="false" customHeight="true" outlineLevel="0" collapsed="false">
      <c r="A5" s="6" t="s">
        <v>31</v>
      </c>
      <c r="B5" s="5" t="n">
        <f aca="false">COUNTA(教師名冊!A2:A61)</f>
        <v>6</v>
      </c>
    </row>
    <row r="6" customFormat="false" ht="15" hidden="false" customHeight="true" outlineLevel="0" collapsed="false">
      <c r="A6" s="6" t="s">
        <v>32</v>
      </c>
      <c r="B6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4" min="3" style="1" width="8"/>
    <col collapsed="false" customWidth="true" hidden="false" outlineLevel="0" max="5" min="5" style="1" width="10"/>
  </cols>
  <sheetData>
    <row r="1" customFormat="false" ht="15" hidden="false" customHeight="true" outlineLevel="0" collapsed="false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</row>
    <row r="2" customFormat="false" ht="72" hidden="false" customHeight="true" outlineLevel="0" collapsed="false">
      <c r="A2" s="10" t="s">
        <v>39</v>
      </c>
      <c r="B2" s="10" t="s">
        <v>40</v>
      </c>
      <c r="C2" s="11" t="s">
        <v>41</v>
      </c>
      <c r="D2" s="11" t="s">
        <v>42</v>
      </c>
      <c r="E2" s="10" t="s">
        <v>43</v>
      </c>
    </row>
    <row r="3" customFormat="false" ht="15" hidden="false" customHeight="true" outlineLevel="0" collapsed="false">
      <c r="A3" s="10" t="n">
        <v>1</v>
      </c>
      <c r="B3" s="10" t="s">
        <v>44</v>
      </c>
      <c r="C3" s="11" t="s">
        <v>45</v>
      </c>
      <c r="D3" s="11" t="s">
        <v>46</v>
      </c>
      <c r="E3" s="10" t="s">
        <v>47</v>
      </c>
    </row>
    <row r="4" customFormat="false" ht="15" hidden="false" customHeight="true" outlineLevel="0" collapsed="false">
      <c r="A4" s="10" t="n">
        <v>2</v>
      </c>
      <c r="B4" s="10" t="s">
        <v>48</v>
      </c>
      <c r="C4" s="11" t="s">
        <v>49</v>
      </c>
      <c r="D4" s="11" t="s">
        <v>50</v>
      </c>
      <c r="E4" s="10" t="s">
        <v>47</v>
      </c>
    </row>
    <row r="5" customFormat="false" ht="15" hidden="false" customHeight="true" outlineLevel="0" collapsed="false">
      <c r="A5" s="10" t="n">
        <v>3</v>
      </c>
      <c r="B5" s="10" t="s">
        <v>51</v>
      </c>
      <c r="C5" s="11" t="s">
        <v>52</v>
      </c>
      <c r="D5" s="11" t="s">
        <v>53</v>
      </c>
      <c r="E5" s="10" t="s">
        <v>47</v>
      </c>
    </row>
    <row r="6" customFormat="false" ht="15" hidden="false" customHeight="true" outlineLevel="0" collapsed="false">
      <c r="A6" s="10" t="n">
        <v>4</v>
      </c>
      <c r="B6" s="10" t="s">
        <v>54</v>
      </c>
      <c r="C6" s="11" t="s">
        <v>55</v>
      </c>
      <c r="D6" s="11" t="s">
        <v>56</v>
      </c>
      <c r="E6" s="10" t="s">
        <v>47</v>
      </c>
    </row>
    <row r="7" customFormat="false" ht="29.25" hidden="false" customHeight="true" outlineLevel="0" collapsed="false">
      <c r="A7" s="10" t="s">
        <v>57</v>
      </c>
      <c r="B7" s="10" t="s">
        <v>57</v>
      </c>
      <c r="C7" s="11" t="s">
        <v>56</v>
      </c>
      <c r="D7" s="11" t="s">
        <v>58</v>
      </c>
      <c r="E7" s="12" t="s">
        <v>59</v>
      </c>
    </row>
    <row r="8" customFormat="false" ht="15" hidden="false" customHeight="true" outlineLevel="0" collapsed="false">
      <c r="A8" s="10" t="n">
        <v>5</v>
      </c>
      <c r="B8" s="10" t="s">
        <v>60</v>
      </c>
      <c r="C8" s="11" t="s">
        <v>58</v>
      </c>
      <c r="D8" s="11" t="s">
        <v>61</v>
      </c>
      <c r="E8" s="10" t="s">
        <v>47</v>
      </c>
    </row>
    <row r="9" customFormat="false" ht="15" hidden="false" customHeight="true" outlineLevel="0" collapsed="false">
      <c r="A9" s="10" t="n">
        <v>6</v>
      </c>
      <c r="B9" s="10" t="s">
        <v>62</v>
      </c>
      <c r="C9" s="11" t="s">
        <v>63</v>
      </c>
      <c r="D9" s="11" t="s">
        <v>64</v>
      </c>
      <c r="E9" s="10" t="s">
        <v>47</v>
      </c>
    </row>
    <row r="10" customFormat="false" ht="15" hidden="false" customHeight="true" outlineLevel="0" collapsed="false">
      <c r="A10" s="10" t="n">
        <v>7</v>
      </c>
      <c r="B10" s="10" t="s">
        <v>65</v>
      </c>
      <c r="C10" s="11" t="s">
        <v>66</v>
      </c>
      <c r="D10" s="11" t="s">
        <v>67</v>
      </c>
      <c r="E10" s="1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36" min="2" style="1" width="4.5"/>
    <col collapsed="false" customWidth="true" hidden="false" outlineLevel="0" max="38" min="37" style="1" width="6"/>
    <col collapsed="false" customWidth="true" hidden="false" outlineLevel="0" max="39" min="39" style="1" width="8"/>
  </cols>
  <sheetData>
    <row r="1" customFormat="false" ht="15" hidden="false" customHeight="true" outlineLevel="0" collapsed="false">
      <c r="A1" s="9" t="s">
        <v>68</v>
      </c>
      <c r="B1" s="9" t="s">
        <v>69</v>
      </c>
      <c r="C1" s="9" t="s">
        <v>70</v>
      </c>
      <c r="D1" s="9" t="s">
        <v>71</v>
      </c>
      <c r="E1" s="9" t="s">
        <v>72</v>
      </c>
      <c r="F1" s="9" t="s">
        <v>73</v>
      </c>
      <c r="G1" s="9" t="s">
        <v>74</v>
      </c>
      <c r="H1" s="9" t="s">
        <v>75</v>
      </c>
      <c r="I1" s="9" t="s">
        <v>76</v>
      </c>
      <c r="J1" s="9" t="s">
        <v>77</v>
      </c>
      <c r="K1" s="9" t="s">
        <v>78</v>
      </c>
      <c r="L1" s="9" t="s">
        <v>79</v>
      </c>
      <c r="M1" s="9" t="s">
        <v>80</v>
      </c>
      <c r="N1" s="9" t="s">
        <v>81</v>
      </c>
      <c r="O1" s="9" t="s">
        <v>82</v>
      </c>
      <c r="P1" s="9" t="s">
        <v>83</v>
      </c>
      <c r="Q1" s="9" t="s">
        <v>84</v>
      </c>
      <c r="R1" s="9" t="s">
        <v>85</v>
      </c>
      <c r="S1" s="9" t="s">
        <v>86</v>
      </c>
      <c r="T1" s="9" t="s">
        <v>87</v>
      </c>
      <c r="U1" s="9" t="s">
        <v>88</v>
      </c>
      <c r="V1" s="9" t="s">
        <v>89</v>
      </c>
      <c r="W1" s="9" t="s">
        <v>90</v>
      </c>
      <c r="X1" s="9" t="s">
        <v>91</v>
      </c>
      <c r="Y1" s="9" t="s">
        <v>92</v>
      </c>
      <c r="Z1" s="9" t="s">
        <v>93</v>
      </c>
      <c r="AA1" s="9" t="s">
        <v>94</v>
      </c>
      <c r="AB1" s="9" t="s">
        <v>95</v>
      </c>
      <c r="AC1" s="9" t="s">
        <v>96</v>
      </c>
      <c r="AD1" s="9" t="s">
        <v>97</v>
      </c>
      <c r="AE1" s="9" t="s">
        <v>98</v>
      </c>
      <c r="AF1" s="9" t="s">
        <v>99</v>
      </c>
      <c r="AG1" s="9" t="s">
        <v>100</v>
      </c>
      <c r="AH1" s="9" t="s">
        <v>101</v>
      </c>
      <c r="AI1" s="9" t="s">
        <v>102</v>
      </c>
      <c r="AJ1" s="9" t="s">
        <v>103</v>
      </c>
      <c r="AK1" s="9" t="s">
        <v>104</v>
      </c>
      <c r="AL1" s="9" t="s">
        <v>105</v>
      </c>
      <c r="AM1" s="9" t="s">
        <v>106</v>
      </c>
    </row>
    <row r="2" customFormat="false" ht="15" hidden="false" customHeight="true" outlineLevel="0" collapsed="false">
      <c r="A2" s="10" t="n">
        <v>1</v>
      </c>
      <c r="B2" s="10" t="n">
        <v>1</v>
      </c>
      <c r="C2" s="10" t="n">
        <v>1</v>
      </c>
      <c r="D2" s="10" t="n">
        <v>1</v>
      </c>
      <c r="E2" s="10" t="n">
        <v>1</v>
      </c>
      <c r="F2" s="10" t="n">
        <v>0</v>
      </c>
      <c r="G2" s="10" t="n">
        <v>0</v>
      </c>
      <c r="H2" s="10" t="n">
        <v>0</v>
      </c>
      <c r="I2" s="10" t="n">
        <v>1</v>
      </c>
      <c r="J2" s="10" t="n">
        <v>1</v>
      </c>
      <c r="K2" s="10" t="n">
        <v>1</v>
      </c>
      <c r="L2" s="10" t="n">
        <v>1</v>
      </c>
      <c r="M2" s="10" t="n">
        <v>1</v>
      </c>
      <c r="N2" s="10" t="n">
        <v>1</v>
      </c>
      <c r="O2" s="10" t="n">
        <v>1</v>
      </c>
      <c r="P2" s="10" t="n">
        <v>1</v>
      </c>
      <c r="Q2" s="10" t="n">
        <v>1</v>
      </c>
      <c r="R2" s="10" t="n">
        <v>1</v>
      </c>
      <c r="S2" s="10" t="n">
        <v>1</v>
      </c>
      <c r="T2" s="10" t="n">
        <v>0</v>
      </c>
      <c r="U2" s="10" t="n">
        <v>0</v>
      </c>
      <c r="V2" s="10" t="n">
        <v>0</v>
      </c>
      <c r="W2" s="10" t="n">
        <v>1</v>
      </c>
      <c r="X2" s="10" t="n">
        <v>1</v>
      </c>
      <c r="Y2" s="10" t="n">
        <v>1</v>
      </c>
      <c r="Z2" s="10" t="n">
        <v>1</v>
      </c>
      <c r="AA2" s="10" t="n">
        <v>0</v>
      </c>
      <c r="AB2" s="10" t="n">
        <v>0</v>
      </c>
      <c r="AC2" s="10" t="n">
        <v>0</v>
      </c>
      <c r="AD2" s="10" t="n">
        <v>1</v>
      </c>
      <c r="AE2" s="10" t="n">
        <v>1</v>
      </c>
      <c r="AF2" s="10" t="n">
        <v>1</v>
      </c>
      <c r="AG2" s="10" t="n">
        <v>1</v>
      </c>
      <c r="AH2" s="10" t="n">
        <v>0</v>
      </c>
      <c r="AI2" s="10" t="n">
        <v>0</v>
      </c>
      <c r="AJ2" s="10" t="n">
        <v>0</v>
      </c>
      <c r="AK2" s="13" t="n">
        <f aca="false">SUM(B2:AJ2)</f>
        <v>23</v>
      </c>
      <c r="AL2" s="10" t="n">
        <v>23</v>
      </c>
      <c r="AM2" s="13" t="str">
        <f aca="false">IF(AK2=AL2,"✓","✗ 不符")</f>
        <v>✓</v>
      </c>
    </row>
    <row r="3" customFormat="false" ht="15" hidden="false" customHeight="true" outlineLevel="0" collapsed="false">
      <c r="A3" s="10" t="n">
        <v>2</v>
      </c>
      <c r="B3" s="10" t="n">
        <v>1</v>
      </c>
      <c r="C3" s="10" t="n">
        <v>1</v>
      </c>
      <c r="D3" s="10" t="n">
        <v>1</v>
      </c>
      <c r="E3" s="10" t="n">
        <v>1</v>
      </c>
      <c r="F3" s="10" t="n">
        <v>0</v>
      </c>
      <c r="G3" s="10" t="n">
        <v>0</v>
      </c>
      <c r="H3" s="10" t="n">
        <v>0</v>
      </c>
      <c r="I3" s="10" t="n">
        <v>1</v>
      </c>
      <c r="J3" s="10" t="n">
        <v>1</v>
      </c>
      <c r="K3" s="10" t="n">
        <v>1</v>
      </c>
      <c r="L3" s="10" t="n">
        <v>1</v>
      </c>
      <c r="M3" s="10" t="n">
        <v>1</v>
      </c>
      <c r="N3" s="10" t="n">
        <v>1</v>
      </c>
      <c r="O3" s="10" t="n">
        <v>1</v>
      </c>
      <c r="P3" s="10" t="n">
        <v>1</v>
      </c>
      <c r="Q3" s="10" t="n">
        <v>1</v>
      </c>
      <c r="R3" s="10" t="n">
        <v>1</v>
      </c>
      <c r="S3" s="10" t="n">
        <v>1</v>
      </c>
      <c r="T3" s="10" t="n">
        <v>0</v>
      </c>
      <c r="U3" s="10" t="n">
        <v>0</v>
      </c>
      <c r="V3" s="10" t="n">
        <v>0</v>
      </c>
      <c r="W3" s="10" t="n">
        <v>1</v>
      </c>
      <c r="X3" s="10" t="n">
        <v>1</v>
      </c>
      <c r="Y3" s="10" t="n">
        <v>1</v>
      </c>
      <c r="Z3" s="10" t="n">
        <v>1</v>
      </c>
      <c r="AA3" s="10" t="n">
        <v>0</v>
      </c>
      <c r="AB3" s="10" t="n">
        <v>0</v>
      </c>
      <c r="AC3" s="10" t="n">
        <v>0</v>
      </c>
      <c r="AD3" s="10" t="n">
        <v>1</v>
      </c>
      <c r="AE3" s="10" t="n">
        <v>1</v>
      </c>
      <c r="AF3" s="10" t="n">
        <v>1</v>
      </c>
      <c r="AG3" s="10" t="n">
        <v>1</v>
      </c>
      <c r="AH3" s="10" t="n">
        <v>0</v>
      </c>
      <c r="AI3" s="10" t="n">
        <v>0</v>
      </c>
      <c r="AJ3" s="10" t="n">
        <v>0</v>
      </c>
      <c r="AK3" s="13" t="n">
        <f aca="false">SUM(B3:AJ3)</f>
        <v>23</v>
      </c>
      <c r="AL3" s="10" t="n">
        <v>23</v>
      </c>
      <c r="AM3" s="13" t="str">
        <f aca="false">IF(AK3=AL3,"✓","✗ 不符")</f>
        <v>✓</v>
      </c>
    </row>
    <row r="4" customFormat="false" ht="15" hidden="false" customHeight="true" outlineLevel="0" collapsed="false">
      <c r="A4" s="10" t="n">
        <v>3</v>
      </c>
      <c r="B4" s="10" t="n">
        <v>1</v>
      </c>
      <c r="C4" s="10" t="n">
        <v>1</v>
      </c>
      <c r="D4" s="10" t="n">
        <v>1</v>
      </c>
      <c r="E4" s="10" t="n">
        <v>1</v>
      </c>
      <c r="F4" s="10" t="n">
        <v>1</v>
      </c>
      <c r="G4" s="10" t="n">
        <v>1</v>
      </c>
      <c r="H4" s="10" t="n">
        <v>1</v>
      </c>
      <c r="I4" s="10" t="n">
        <v>1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1</v>
      </c>
      <c r="O4" s="10" t="n">
        <v>1</v>
      </c>
      <c r="P4" s="10" t="n">
        <v>1</v>
      </c>
      <c r="Q4" s="10" t="n">
        <v>1</v>
      </c>
      <c r="R4" s="10" t="n">
        <v>1</v>
      </c>
      <c r="S4" s="10" t="n">
        <v>1</v>
      </c>
      <c r="T4" s="10" t="n">
        <v>0</v>
      </c>
      <c r="U4" s="10" t="n">
        <v>0</v>
      </c>
      <c r="V4" s="10" t="n">
        <v>0</v>
      </c>
      <c r="W4" s="10" t="n">
        <v>1</v>
      </c>
      <c r="X4" s="10" t="n">
        <v>1</v>
      </c>
      <c r="Y4" s="10" t="n">
        <v>1</v>
      </c>
      <c r="Z4" s="10" t="n">
        <v>1</v>
      </c>
      <c r="AA4" s="10" t="n">
        <v>1</v>
      </c>
      <c r="AB4" s="10" t="n">
        <v>1</v>
      </c>
      <c r="AC4" s="10" t="n">
        <v>1</v>
      </c>
      <c r="AD4" s="10" t="n">
        <v>1</v>
      </c>
      <c r="AE4" s="10" t="n">
        <v>1</v>
      </c>
      <c r="AF4" s="10" t="n">
        <v>1</v>
      </c>
      <c r="AG4" s="10" t="n">
        <v>1</v>
      </c>
      <c r="AH4" s="10" t="n">
        <v>0</v>
      </c>
      <c r="AI4" s="10" t="n">
        <v>0</v>
      </c>
      <c r="AJ4" s="10" t="n">
        <v>0</v>
      </c>
      <c r="AK4" s="13" t="n">
        <f aca="false">SUM(B4:AJ4)</f>
        <v>29</v>
      </c>
      <c r="AL4" s="10" t="n">
        <v>29</v>
      </c>
      <c r="AM4" s="13" t="str">
        <f aca="false">IF(AK4=AL4,"✓","✗ 不符")</f>
        <v>✓</v>
      </c>
    </row>
    <row r="5" customFormat="false" ht="15" hidden="false" customHeight="true" outlineLevel="0" collapsed="false">
      <c r="A5" s="10" t="n">
        <v>4</v>
      </c>
      <c r="B5" s="10" t="n">
        <v>1</v>
      </c>
      <c r="C5" s="10" t="n">
        <v>1</v>
      </c>
      <c r="D5" s="10" t="n">
        <v>1</v>
      </c>
      <c r="E5" s="10" t="n">
        <v>1</v>
      </c>
      <c r="F5" s="10" t="n">
        <v>1</v>
      </c>
      <c r="G5" s="10" t="n">
        <v>1</v>
      </c>
      <c r="H5" s="10" t="n">
        <v>1</v>
      </c>
      <c r="I5" s="10" t="n">
        <v>1</v>
      </c>
      <c r="J5" s="10" t="n">
        <v>1</v>
      </c>
      <c r="K5" s="10" t="n">
        <v>1</v>
      </c>
      <c r="L5" s="10" t="n">
        <v>1</v>
      </c>
      <c r="M5" s="10" t="n">
        <v>1</v>
      </c>
      <c r="N5" s="10" t="n">
        <v>1</v>
      </c>
      <c r="O5" s="10" t="n">
        <v>1</v>
      </c>
      <c r="P5" s="10" t="n">
        <v>1</v>
      </c>
      <c r="Q5" s="10" t="n">
        <v>1</v>
      </c>
      <c r="R5" s="10" t="n">
        <v>1</v>
      </c>
      <c r="S5" s="10" t="n">
        <v>1</v>
      </c>
      <c r="T5" s="10" t="n">
        <v>0</v>
      </c>
      <c r="U5" s="10" t="n">
        <v>0</v>
      </c>
      <c r="V5" s="10" t="n">
        <v>0</v>
      </c>
      <c r="W5" s="10" t="n">
        <v>1</v>
      </c>
      <c r="X5" s="10" t="n">
        <v>1</v>
      </c>
      <c r="Y5" s="10" t="n">
        <v>1</v>
      </c>
      <c r="Z5" s="10" t="n">
        <v>1</v>
      </c>
      <c r="AA5" s="10" t="n">
        <v>1</v>
      </c>
      <c r="AB5" s="10" t="n">
        <v>1</v>
      </c>
      <c r="AC5" s="10" t="n">
        <v>1</v>
      </c>
      <c r="AD5" s="10" t="n">
        <v>1</v>
      </c>
      <c r="AE5" s="10" t="n">
        <v>1</v>
      </c>
      <c r="AF5" s="10" t="n">
        <v>1</v>
      </c>
      <c r="AG5" s="10" t="n">
        <v>1</v>
      </c>
      <c r="AH5" s="10" t="n">
        <v>0</v>
      </c>
      <c r="AI5" s="10" t="n">
        <v>0</v>
      </c>
      <c r="AJ5" s="10" t="n">
        <v>0</v>
      </c>
      <c r="AK5" s="13" t="n">
        <f aca="false">SUM(B5:AJ5)</f>
        <v>29</v>
      </c>
      <c r="AL5" s="10" t="n">
        <v>29</v>
      </c>
      <c r="AM5" s="13" t="str">
        <f aca="false">IF(AK5=AL5,"✓","✗ 不符")</f>
        <v>✓</v>
      </c>
    </row>
    <row r="6" customFormat="false" ht="15" hidden="false" customHeight="true" outlineLevel="0" collapsed="false">
      <c r="A6" s="10" t="n">
        <v>5</v>
      </c>
      <c r="B6" s="10" t="n">
        <v>1</v>
      </c>
      <c r="C6" s="10" t="n">
        <v>1</v>
      </c>
      <c r="D6" s="10" t="n">
        <v>1</v>
      </c>
      <c r="E6" s="10" t="n">
        <v>1</v>
      </c>
      <c r="F6" s="10" t="n">
        <v>1</v>
      </c>
      <c r="G6" s="10" t="n">
        <v>1</v>
      </c>
      <c r="H6" s="10" t="n">
        <v>1</v>
      </c>
      <c r="I6" s="10" t="n">
        <v>1</v>
      </c>
      <c r="J6" s="10" t="n">
        <v>1</v>
      </c>
      <c r="K6" s="10" t="n">
        <v>1</v>
      </c>
      <c r="L6" s="10" t="n">
        <v>1</v>
      </c>
      <c r="M6" s="10" t="n">
        <v>1</v>
      </c>
      <c r="N6" s="10" t="n">
        <v>1</v>
      </c>
      <c r="O6" s="10" t="n">
        <v>1</v>
      </c>
      <c r="P6" s="10" t="n">
        <v>1</v>
      </c>
      <c r="Q6" s="10" t="n">
        <v>1</v>
      </c>
      <c r="R6" s="10" t="n">
        <v>1</v>
      </c>
      <c r="S6" s="10" t="n">
        <v>1</v>
      </c>
      <c r="T6" s="10" t="n">
        <v>0</v>
      </c>
      <c r="U6" s="10" t="n">
        <v>0</v>
      </c>
      <c r="V6" s="10" t="n">
        <v>0</v>
      </c>
      <c r="W6" s="10" t="n">
        <v>1</v>
      </c>
      <c r="X6" s="10" t="n">
        <v>1</v>
      </c>
      <c r="Y6" s="10" t="n">
        <v>1</v>
      </c>
      <c r="Z6" s="10" t="n">
        <v>1</v>
      </c>
      <c r="AA6" s="10" t="n">
        <v>1</v>
      </c>
      <c r="AB6" s="10" t="n">
        <v>1</v>
      </c>
      <c r="AC6" s="10" t="n">
        <v>1</v>
      </c>
      <c r="AD6" s="10" t="n">
        <v>1</v>
      </c>
      <c r="AE6" s="10" t="n">
        <v>1</v>
      </c>
      <c r="AF6" s="10" t="n">
        <v>1</v>
      </c>
      <c r="AG6" s="10" t="n">
        <v>1</v>
      </c>
      <c r="AH6" s="10" t="n">
        <v>1</v>
      </c>
      <c r="AI6" s="10" t="n">
        <v>1</v>
      </c>
      <c r="AJ6" s="10" t="n">
        <v>1</v>
      </c>
      <c r="AK6" s="13" t="n">
        <f aca="false">SUM(B6:AJ6)</f>
        <v>32</v>
      </c>
      <c r="AL6" s="10" t="n">
        <v>32</v>
      </c>
      <c r="AM6" s="13" t="str">
        <f aca="false">IF(AK6=AL6,"✓","✗ 不符")</f>
        <v>✓</v>
      </c>
    </row>
    <row r="7" customFormat="false" ht="15" hidden="false" customHeight="true" outlineLevel="0" collapsed="false">
      <c r="A7" s="10" t="n">
        <v>6</v>
      </c>
      <c r="B7" s="10" t="n">
        <v>1</v>
      </c>
      <c r="C7" s="10" t="n">
        <v>1</v>
      </c>
      <c r="D7" s="10" t="n">
        <v>1</v>
      </c>
      <c r="E7" s="10" t="n">
        <v>1</v>
      </c>
      <c r="F7" s="10" t="n">
        <v>1</v>
      </c>
      <c r="G7" s="10" t="n">
        <v>1</v>
      </c>
      <c r="H7" s="10" t="n">
        <v>1</v>
      </c>
      <c r="I7" s="10" t="n">
        <v>1</v>
      </c>
      <c r="J7" s="10" t="n">
        <v>1</v>
      </c>
      <c r="K7" s="10" t="n">
        <v>1</v>
      </c>
      <c r="L7" s="10" t="n">
        <v>1</v>
      </c>
      <c r="M7" s="10" t="n">
        <v>1</v>
      </c>
      <c r="N7" s="10" t="n">
        <v>1</v>
      </c>
      <c r="O7" s="10" t="n">
        <v>1</v>
      </c>
      <c r="P7" s="10" t="n">
        <v>1</v>
      </c>
      <c r="Q7" s="10" t="n">
        <v>1</v>
      </c>
      <c r="R7" s="10" t="n">
        <v>1</v>
      </c>
      <c r="S7" s="10" t="n">
        <v>1</v>
      </c>
      <c r="T7" s="10" t="n">
        <v>0</v>
      </c>
      <c r="U7" s="10" t="n">
        <v>0</v>
      </c>
      <c r="V7" s="10" t="n">
        <v>0</v>
      </c>
      <c r="W7" s="10" t="n">
        <v>1</v>
      </c>
      <c r="X7" s="10" t="n">
        <v>1</v>
      </c>
      <c r="Y7" s="10" t="n">
        <v>1</v>
      </c>
      <c r="Z7" s="10" t="n">
        <v>1</v>
      </c>
      <c r="AA7" s="10" t="n">
        <v>1</v>
      </c>
      <c r="AB7" s="10" t="n">
        <v>1</v>
      </c>
      <c r="AC7" s="10" t="n">
        <v>1</v>
      </c>
      <c r="AD7" s="10" t="n">
        <v>1</v>
      </c>
      <c r="AE7" s="10" t="n">
        <v>1</v>
      </c>
      <c r="AF7" s="10" t="n">
        <v>1</v>
      </c>
      <c r="AG7" s="10" t="n">
        <v>1</v>
      </c>
      <c r="AH7" s="10" t="n">
        <v>1</v>
      </c>
      <c r="AI7" s="10" t="n">
        <v>1</v>
      </c>
      <c r="AJ7" s="10" t="n">
        <v>1</v>
      </c>
      <c r="AK7" s="13" t="n">
        <f aca="false">SUM(B7:AJ7)</f>
        <v>32</v>
      </c>
      <c r="AL7" s="10" t="n">
        <v>32</v>
      </c>
      <c r="AM7" s="13" t="str">
        <f aca="false">IF(AK7=AL7,"✓","✗ 不符")</f>
        <v>✓</v>
      </c>
    </row>
    <row r="9" customFormat="false" ht="15" hidden="false" customHeight="true" outlineLevel="0" collapsed="false">
      <c r="B9" s="14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14"/>
  </cols>
  <sheetData>
    <row r="1" customFormat="false" ht="15" hidden="false" customHeight="true" outlineLevel="0" collapsed="false">
      <c r="A1" s="15" t="s">
        <v>108</v>
      </c>
      <c r="B1" s="9" t="s">
        <v>109</v>
      </c>
      <c r="C1" s="9" t="s">
        <v>110</v>
      </c>
      <c r="D1" s="9" t="s">
        <v>111</v>
      </c>
      <c r="E1" s="9" t="s">
        <v>112</v>
      </c>
    </row>
    <row r="2" customFormat="false" ht="15" hidden="false" customHeight="true" outlineLevel="0" collapsed="false">
      <c r="A2" s="11" t="s">
        <v>113</v>
      </c>
      <c r="B2" s="16" t="s">
        <v>114</v>
      </c>
      <c r="C2" s="10" t="n">
        <v>99</v>
      </c>
      <c r="D2" s="16" t="s">
        <v>115</v>
      </c>
    </row>
    <row r="3" customFormat="false" ht="15" hidden="false" customHeight="true" outlineLevel="0" collapsed="false">
      <c r="A3" s="11" t="s">
        <v>116</v>
      </c>
      <c r="B3" s="16" t="s">
        <v>117</v>
      </c>
      <c r="C3" s="10" t="n">
        <v>1</v>
      </c>
      <c r="D3" s="16" t="s">
        <v>118</v>
      </c>
      <c r="E3" s="11" t="n">
        <v>5</v>
      </c>
    </row>
    <row r="4" customFormat="false" ht="15" hidden="false" customHeight="true" outlineLevel="0" collapsed="false">
      <c r="A4" s="11" t="s">
        <v>119</v>
      </c>
      <c r="B4" s="16" t="s">
        <v>120</v>
      </c>
      <c r="C4" s="10" t="n">
        <v>1</v>
      </c>
      <c r="D4" s="16"/>
    </row>
    <row r="5" customFormat="false" ht="15" hidden="false" customHeight="true" outlineLevel="0" collapsed="false">
      <c r="A5" s="11" t="s">
        <v>121</v>
      </c>
      <c r="B5" s="16" t="s">
        <v>122</v>
      </c>
      <c r="C5" s="10" t="n">
        <v>1</v>
      </c>
      <c r="D5" s="16"/>
    </row>
    <row r="6" customFormat="false" ht="15" hidden="false" customHeight="true" outlineLevel="0" collapsed="false">
      <c r="A6" s="11" t="s">
        <v>123</v>
      </c>
      <c r="B6" s="16" t="s">
        <v>124</v>
      </c>
      <c r="C6" s="12" t="n">
        <v>2</v>
      </c>
      <c r="D6" s="16" t="s">
        <v>125</v>
      </c>
    </row>
    <row r="7" customFormat="false" ht="15" hidden="false" customHeight="true" outlineLevel="0" collapsed="false">
      <c r="A7" s="11" t="s">
        <v>126</v>
      </c>
      <c r="B7" s="16" t="s">
        <v>127</v>
      </c>
      <c r="C7" s="10" t="n">
        <v>1</v>
      </c>
      <c r="D7" s="16" t="s">
        <v>128</v>
      </c>
      <c r="E7" s="11" t="n">
        <v>3</v>
      </c>
    </row>
    <row r="8" customFormat="false" ht="15" hidden="false" customHeight="true" outlineLevel="0" collapsed="false">
      <c r="A8" s="11" t="s">
        <v>129</v>
      </c>
      <c r="B8" s="16" t="s">
        <v>130</v>
      </c>
      <c r="C8" s="10" t="n">
        <v>1</v>
      </c>
      <c r="D8" s="16" t="s">
        <v>128</v>
      </c>
      <c r="E8" s="11" t="n">
        <v>4</v>
      </c>
    </row>
    <row r="9" customFormat="false" ht="15" hidden="false" customHeight="true" outlineLevel="0" collapsed="false">
      <c r="A9" s="11" t="s">
        <v>131</v>
      </c>
      <c r="B9" s="16" t="s">
        <v>132</v>
      </c>
      <c r="C9" s="10" t="n">
        <v>1</v>
      </c>
      <c r="D9" s="17" t="s">
        <v>133</v>
      </c>
    </row>
    <row r="10" customFormat="false" ht="15" hidden="false" customHeight="true" outlineLevel="0" collapsed="false">
      <c r="A10" s="11" t="s">
        <v>134</v>
      </c>
      <c r="B10" s="16" t="s">
        <v>135</v>
      </c>
      <c r="C10" s="10" t="n">
        <v>1</v>
      </c>
      <c r="D10" s="17" t="s">
        <v>133</v>
      </c>
      <c r="E10" s="11" t="n">
        <v>2</v>
      </c>
    </row>
    <row r="11" customFormat="false" ht="15" hidden="false" customHeight="true" outlineLevel="0" collapsed="false">
      <c r="A11" s="11" t="s">
        <v>136</v>
      </c>
      <c r="B11" s="16" t="s">
        <v>137</v>
      </c>
      <c r="C11" s="10" t="n">
        <v>1</v>
      </c>
      <c r="D11" s="17" t="s">
        <v>133</v>
      </c>
      <c r="E11" s="11" t="n">
        <v>1</v>
      </c>
    </row>
    <row r="12" customFormat="false" ht="15" hidden="false" customHeight="true" outlineLevel="0" collapsed="false">
      <c r="A12" s="11" t="s">
        <v>138</v>
      </c>
      <c r="B12" s="16" t="s">
        <v>139</v>
      </c>
      <c r="C12" s="10" t="n">
        <v>1</v>
      </c>
      <c r="D12" s="17" t="s">
        <v>133</v>
      </c>
    </row>
    <row r="13" customFormat="false" ht="15" hidden="false" customHeight="true" outlineLevel="0" collapsed="false">
      <c r="A13" s="11" t="s">
        <v>140</v>
      </c>
      <c r="B13" s="16" t="s">
        <v>141</v>
      </c>
      <c r="C13" s="10" t="n">
        <v>1</v>
      </c>
      <c r="D13" s="17" t="s">
        <v>133</v>
      </c>
    </row>
    <row r="15" customFormat="false" ht="15" hidden="false" customHeight="true" outlineLevel="0" collapsed="false">
      <c r="B15" s="18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8"/>
    <col collapsed="false" customWidth="true" hidden="false" outlineLevel="0" max="11" min="6" style="1" width="5"/>
    <col collapsed="false" customWidth="true" hidden="false" outlineLevel="0" max="12" min="12" style="1" width="12"/>
    <col collapsed="false" customWidth="true" hidden="false" outlineLevel="0" max="15" min="13" style="1" width="14"/>
    <col collapsed="false" customWidth="true" hidden="false" outlineLevel="0" max="17" min="16" style="1" width="10"/>
    <col collapsed="false" customWidth="true" hidden="false" outlineLevel="0" max="18" min="18" style="1" width="36"/>
    <col collapsed="false" customWidth="true" hidden="false" outlineLevel="0" max="19" min="19" style="1" width="20"/>
  </cols>
  <sheetData>
    <row r="1" customFormat="false" ht="29.25" hidden="false" customHeight="true" outlineLevel="0" collapsed="false">
      <c r="A1" s="15" t="s">
        <v>143</v>
      </c>
      <c r="B1" s="9" t="s">
        <v>144</v>
      </c>
      <c r="C1" s="15" t="s">
        <v>145</v>
      </c>
      <c r="D1" s="9" t="s">
        <v>146</v>
      </c>
      <c r="E1" s="9" t="s">
        <v>147</v>
      </c>
      <c r="F1" s="9" t="s">
        <v>148</v>
      </c>
      <c r="G1" s="9" t="s">
        <v>149</v>
      </c>
      <c r="H1" s="9" t="s">
        <v>150</v>
      </c>
      <c r="I1" s="9" t="s">
        <v>151</v>
      </c>
      <c r="J1" s="9" t="s">
        <v>152</v>
      </c>
      <c r="K1" s="9" t="s">
        <v>153</v>
      </c>
      <c r="L1" s="9" t="s">
        <v>154</v>
      </c>
      <c r="M1" s="9" t="s">
        <v>155</v>
      </c>
      <c r="N1" s="9" t="s">
        <v>109</v>
      </c>
      <c r="O1" s="9" t="s">
        <v>156</v>
      </c>
      <c r="P1" s="9" t="s">
        <v>157</v>
      </c>
      <c r="Q1" s="9" t="s">
        <v>158</v>
      </c>
      <c r="R1" s="9" t="s">
        <v>111</v>
      </c>
      <c r="S1" s="9" t="s">
        <v>159</v>
      </c>
    </row>
    <row r="2" customFormat="false" ht="15" hidden="false" customHeight="true" outlineLevel="0" collapsed="false">
      <c r="A2" s="11" t="s">
        <v>160</v>
      </c>
      <c r="B2" s="10" t="s">
        <v>161</v>
      </c>
      <c r="C2" s="11" t="s">
        <v>162</v>
      </c>
      <c r="D2" s="16" t="s">
        <v>161</v>
      </c>
      <c r="E2" s="10" t="s">
        <v>163</v>
      </c>
      <c r="F2" s="10" t="n">
        <v>6</v>
      </c>
      <c r="G2" s="10" t="n">
        <v>6</v>
      </c>
      <c r="H2" s="10" t="n">
        <v>5</v>
      </c>
      <c r="I2" s="10" t="n">
        <v>5</v>
      </c>
      <c r="J2" s="10" t="n">
        <v>5</v>
      </c>
      <c r="K2" s="10" t="n">
        <v>5</v>
      </c>
      <c r="L2" s="10" t="s">
        <v>164</v>
      </c>
      <c r="M2" s="11" t="s">
        <v>113</v>
      </c>
      <c r="N2" s="13" t="str">
        <f aca="false">IFERROR(VLOOKUP(M2,設定_場地表!$A$2:$B$13,2,0),"")</f>
        <v>普通教室(原班)</v>
      </c>
      <c r="O2" s="10" t="n">
        <v>2</v>
      </c>
      <c r="P2" s="10"/>
      <c r="Q2" s="10"/>
      <c r="R2" s="16"/>
    </row>
    <row r="3" customFormat="false" ht="43.5" hidden="false" customHeight="true" outlineLevel="0" collapsed="false">
      <c r="A3" s="11" t="s">
        <v>165</v>
      </c>
      <c r="B3" s="10" t="s">
        <v>166</v>
      </c>
      <c r="C3" s="11" t="s">
        <v>167</v>
      </c>
      <c r="D3" s="16" t="s">
        <v>168</v>
      </c>
      <c r="E3" s="10" t="s">
        <v>163</v>
      </c>
      <c r="F3" s="10" t="n">
        <v>1</v>
      </c>
      <c r="G3" s="10" t="n">
        <v>1</v>
      </c>
      <c r="H3" s="10" t="n">
        <v>1</v>
      </c>
      <c r="I3" s="10" t="n">
        <v>1</v>
      </c>
      <c r="J3" s="10" t="n">
        <v>1</v>
      </c>
      <c r="K3" s="10" t="n">
        <v>1</v>
      </c>
      <c r="L3" s="10" t="s">
        <v>169</v>
      </c>
      <c r="M3" s="11" t="s">
        <v>113</v>
      </c>
      <c r="N3" s="13" t="str">
        <f aca="false">IFERROR(VLOOKUP(M3,設定_場地表!$A$2:$B$13,2,0),"")</f>
        <v>普通教室(原班)</v>
      </c>
      <c r="O3" s="10"/>
      <c r="P3" s="10"/>
      <c r="Q3" s="10"/>
      <c r="R3" s="16" t="s">
        <v>170</v>
      </c>
    </row>
    <row r="4" customFormat="false" ht="15" hidden="false" customHeight="true" outlineLevel="0" collapsed="false">
      <c r="A4" s="11" t="s">
        <v>171</v>
      </c>
      <c r="B4" s="10" t="s">
        <v>172</v>
      </c>
      <c r="C4" s="11" t="s">
        <v>173</v>
      </c>
      <c r="D4" s="16" t="s">
        <v>172</v>
      </c>
      <c r="E4" s="10" t="s">
        <v>163</v>
      </c>
      <c r="F4" s="10" t="n">
        <v>0</v>
      </c>
      <c r="G4" s="10" t="n">
        <v>0</v>
      </c>
      <c r="H4" s="10" t="n">
        <v>1</v>
      </c>
      <c r="I4" s="10" t="n">
        <v>1</v>
      </c>
      <c r="J4" s="10" t="n">
        <v>2</v>
      </c>
      <c r="K4" s="10" t="n">
        <v>2</v>
      </c>
      <c r="L4" s="10" t="s">
        <v>169</v>
      </c>
      <c r="M4" s="11" t="s">
        <v>113</v>
      </c>
      <c r="N4" s="13" t="str">
        <f aca="false">IFERROR(VLOOKUP(M4,設定_場地表!$A$2:$B$13,2,0),"")</f>
        <v>普通教室(原班)</v>
      </c>
      <c r="O4" s="10" t="n">
        <v>2</v>
      </c>
      <c r="P4" s="10"/>
      <c r="Q4" s="10"/>
      <c r="R4" s="16"/>
    </row>
    <row r="5" customFormat="false" ht="15" hidden="false" customHeight="true" outlineLevel="0" collapsed="false">
      <c r="A5" s="11" t="s">
        <v>174</v>
      </c>
      <c r="B5" s="10" t="s">
        <v>175</v>
      </c>
      <c r="C5" s="11" t="s">
        <v>176</v>
      </c>
      <c r="D5" s="16" t="s">
        <v>175</v>
      </c>
      <c r="E5" s="10" t="s">
        <v>163</v>
      </c>
      <c r="F5" s="10" t="n">
        <v>4</v>
      </c>
      <c r="G5" s="10" t="n">
        <v>4</v>
      </c>
      <c r="H5" s="10" t="n">
        <v>4</v>
      </c>
      <c r="I5" s="10" t="n">
        <v>4</v>
      </c>
      <c r="J5" s="10" t="n">
        <v>4</v>
      </c>
      <c r="K5" s="10" t="n">
        <v>4</v>
      </c>
      <c r="L5" s="10" t="s">
        <v>164</v>
      </c>
      <c r="M5" s="11" t="s">
        <v>113</v>
      </c>
      <c r="N5" s="13" t="str">
        <f aca="false">IFERROR(VLOOKUP(M5,設定_場地表!$A$2:$B$13,2,0),"")</f>
        <v>普通教室(原班)</v>
      </c>
      <c r="O5" s="10" t="n">
        <v>2</v>
      </c>
      <c r="P5" s="10"/>
      <c r="Q5" s="10"/>
      <c r="R5" s="16" t="s">
        <v>177</v>
      </c>
    </row>
    <row r="6" customFormat="false" ht="15" hidden="false" customHeight="true" outlineLevel="0" collapsed="false">
      <c r="A6" s="11" t="s">
        <v>178</v>
      </c>
      <c r="B6" s="10" t="s">
        <v>179</v>
      </c>
      <c r="C6" s="11" t="s">
        <v>180</v>
      </c>
      <c r="D6" s="16" t="s">
        <v>179</v>
      </c>
      <c r="E6" s="10" t="s">
        <v>163</v>
      </c>
      <c r="F6" s="10" t="n">
        <v>5</v>
      </c>
      <c r="G6" s="10" t="n">
        <v>5</v>
      </c>
      <c r="H6" s="10" t="n">
        <v>0</v>
      </c>
      <c r="I6" s="10" t="n">
        <v>0</v>
      </c>
      <c r="J6" s="10" t="n">
        <v>0</v>
      </c>
      <c r="K6" s="10" t="n">
        <v>0</v>
      </c>
      <c r="L6" s="10" t="s">
        <v>164</v>
      </c>
      <c r="M6" s="11" t="s">
        <v>113</v>
      </c>
      <c r="N6" s="13" t="str">
        <f aca="false">IFERROR(VLOOKUP(M6,設定_場地表!$A$2:$B$13,2,0),"")</f>
        <v>普通教室(原班)</v>
      </c>
      <c r="O6" s="10"/>
      <c r="P6" s="10"/>
      <c r="Q6" s="10"/>
      <c r="R6" s="16" t="s">
        <v>181</v>
      </c>
    </row>
    <row r="7" customFormat="false" ht="15" hidden="false" customHeight="true" outlineLevel="0" collapsed="false">
      <c r="A7" s="11" t="s">
        <v>182</v>
      </c>
      <c r="B7" s="10" t="s">
        <v>183</v>
      </c>
      <c r="C7" s="11" t="s">
        <v>184</v>
      </c>
      <c r="D7" s="16" t="s">
        <v>183</v>
      </c>
      <c r="E7" s="10" t="s">
        <v>163</v>
      </c>
      <c r="F7" s="10" t="n">
        <v>0</v>
      </c>
      <c r="G7" s="10" t="n">
        <v>0</v>
      </c>
      <c r="H7" s="10" t="n">
        <v>3</v>
      </c>
      <c r="I7" s="10" t="n">
        <v>3</v>
      </c>
      <c r="J7" s="10" t="n">
        <v>3</v>
      </c>
      <c r="K7" s="10" t="n">
        <v>3</v>
      </c>
      <c r="L7" s="10" t="s">
        <v>169</v>
      </c>
      <c r="M7" s="11" t="s">
        <v>113</v>
      </c>
      <c r="N7" s="13" t="str">
        <f aca="false">IFERROR(VLOOKUP(M7,設定_場地表!$A$2:$B$13,2,0),"")</f>
        <v>普通教室(原班)</v>
      </c>
      <c r="O7" s="10" t="n">
        <v>2</v>
      </c>
      <c r="P7" s="10"/>
      <c r="Q7" s="10"/>
      <c r="R7" s="16"/>
    </row>
    <row r="8" customFormat="false" ht="15" hidden="false" customHeight="true" outlineLevel="0" collapsed="false">
      <c r="A8" s="11" t="s">
        <v>185</v>
      </c>
      <c r="B8" s="10" t="s">
        <v>186</v>
      </c>
      <c r="C8" s="11" t="s">
        <v>187</v>
      </c>
      <c r="D8" s="16" t="s">
        <v>186</v>
      </c>
      <c r="E8" s="10" t="s">
        <v>163</v>
      </c>
      <c r="F8" s="10" t="n">
        <v>0</v>
      </c>
      <c r="G8" s="10" t="n">
        <v>0</v>
      </c>
      <c r="H8" s="10" t="n">
        <v>3</v>
      </c>
      <c r="I8" s="10" t="n">
        <v>3</v>
      </c>
      <c r="J8" s="10" t="n">
        <v>3</v>
      </c>
      <c r="K8" s="10" t="n">
        <v>3</v>
      </c>
      <c r="L8" s="10" t="s">
        <v>169</v>
      </c>
      <c r="M8" s="11" t="s">
        <v>116</v>
      </c>
      <c r="N8" s="13" t="str">
        <f aca="false">IFERROR(VLOOKUP(M8,設定_場地表!$A$2:$B$13,2,0),"")</f>
        <v>自然教室</v>
      </c>
      <c r="O8" s="10" t="n">
        <v>2</v>
      </c>
      <c r="P8" s="11" t="s">
        <v>188</v>
      </c>
      <c r="Q8" s="10"/>
      <c r="R8" s="16" t="s">
        <v>189</v>
      </c>
      <c r="S8" s="10" t="s">
        <v>190</v>
      </c>
    </row>
    <row r="9" customFormat="false" ht="15" hidden="false" customHeight="true" outlineLevel="0" collapsed="false">
      <c r="A9" s="11" t="s">
        <v>191</v>
      </c>
      <c r="B9" s="10" t="s">
        <v>192</v>
      </c>
      <c r="C9" s="11" t="s">
        <v>193</v>
      </c>
      <c r="D9" s="16" t="s">
        <v>194</v>
      </c>
      <c r="E9" s="10" t="s">
        <v>163</v>
      </c>
      <c r="F9" s="10" t="n">
        <v>1</v>
      </c>
      <c r="G9" s="10" t="n">
        <v>1</v>
      </c>
      <c r="H9" s="10" t="n">
        <v>1</v>
      </c>
      <c r="I9" s="10" t="n">
        <v>1</v>
      </c>
      <c r="J9" s="10" t="n">
        <v>1</v>
      </c>
      <c r="K9" s="10" t="n">
        <v>1</v>
      </c>
      <c r="L9" s="10" t="s">
        <v>169</v>
      </c>
      <c r="M9" s="11" t="s">
        <v>119</v>
      </c>
      <c r="N9" s="13" t="str">
        <f aca="false">IFERROR(VLOOKUP(M9,設定_場地表!$A$2:$B$13,2,0),"")</f>
        <v>音樂教室</v>
      </c>
      <c r="O9" s="10"/>
      <c r="P9" s="10"/>
      <c r="Q9" s="10"/>
      <c r="R9" s="16" t="s">
        <v>195</v>
      </c>
    </row>
    <row r="10" customFormat="false" ht="15" hidden="false" customHeight="true" outlineLevel="0" collapsed="false">
      <c r="A10" s="11" t="s">
        <v>196</v>
      </c>
      <c r="B10" s="10" t="s">
        <v>197</v>
      </c>
      <c r="C10" s="11" t="s">
        <v>193</v>
      </c>
      <c r="D10" s="16" t="s">
        <v>194</v>
      </c>
      <c r="E10" s="10" t="s">
        <v>163</v>
      </c>
      <c r="F10" s="10" t="n">
        <v>0</v>
      </c>
      <c r="G10" s="10" t="n">
        <v>0</v>
      </c>
      <c r="H10" s="10" t="n">
        <v>2</v>
      </c>
      <c r="I10" s="10" t="n">
        <v>2</v>
      </c>
      <c r="J10" s="10" t="n">
        <v>2</v>
      </c>
      <c r="K10" s="10" t="n">
        <v>2</v>
      </c>
      <c r="L10" s="10" t="s">
        <v>169</v>
      </c>
      <c r="M10" s="11" t="s">
        <v>113</v>
      </c>
      <c r="N10" s="13" t="str">
        <f aca="false">IFERROR(VLOOKUP(M10,設定_場地表!$A$2:$B$13,2,0),"")</f>
        <v>普通教室(原班)</v>
      </c>
      <c r="O10" s="10"/>
      <c r="P10" s="11" t="s">
        <v>198</v>
      </c>
      <c r="Q10" s="10"/>
      <c r="R10" s="16" t="s">
        <v>199</v>
      </c>
    </row>
    <row r="11" customFormat="false" ht="15" hidden="false" customHeight="true" outlineLevel="0" collapsed="false">
      <c r="A11" s="11" t="s">
        <v>200</v>
      </c>
      <c r="B11" s="10" t="s">
        <v>201</v>
      </c>
      <c r="C11" s="11" t="s">
        <v>202</v>
      </c>
      <c r="D11" s="16" t="s">
        <v>201</v>
      </c>
      <c r="E11" s="10" t="s">
        <v>163</v>
      </c>
      <c r="F11" s="10" t="n">
        <v>0</v>
      </c>
      <c r="G11" s="10" t="n">
        <v>0</v>
      </c>
      <c r="H11" s="10" t="n">
        <v>2</v>
      </c>
      <c r="I11" s="10" t="n">
        <v>2</v>
      </c>
      <c r="J11" s="10" t="n">
        <v>2</v>
      </c>
      <c r="K11" s="10" t="n">
        <v>2</v>
      </c>
      <c r="L11" s="10" t="s">
        <v>164</v>
      </c>
      <c r="M11" s="11" t="s">
        <v>113</v>
      </c>
      <c r="N11" s="13" t="str">
        <f aca="false">IFERROR(VLOOKUP(M11,設定_場地表!$A$2:$B$13,2,0),"")</f>
        <v>普通教室(原班)</v>
      </c>
      <c r="O11" s="10"/>
      <c r="P11" s="10"/>
      <c r="Q11" s="10"/>
      <c r="R11" s="16"/>
    </row>
    <row r="12" customFormat="false" ht="15" hidden="false" customHeight="true" outlineLevel="0" collapsed="false">
      <c r="A12" s="11" t="s">
        <v>203</v>
      </c>
      <c r="B12" s="10" t="s">
        <v>204</v>
      </c>
      <c r="C12" s="11" t="s">
        <v>205</v>
      </c>
      <c r="D12" s="16" t="s">
        <v>206</v>
      </c>
      <c r="E12" s="10" t="s">
        <v>163</v>
      </c>
      <c r="F12" s="10" t="n">
        <v>1</v>
      </c>
      <c r="G12" s="10" t="n">
        <v>1</v>
      </c>
      <c r="H12" s="10" t="n">
        <v>1</v>
      </c>
      <c r="I12" s="10" t="n">
        <v>1</v>
      </c>
      <c r="J12" s="10" t="n">
        <v>1</v>
      </c>
      <c r="K12" s="10" t="n">
        <v>1</v>
      </c>
      <c r="L12" s="10" t="s">
        <v>169</v>
      </c>
      <c r="M12" s="11" t="s">
        <v>113</v>
      </c>
      <c r="N12" s="13" t="str">
        <f aca="false">IFERROR(VLOOKUP(M12,設定_場地表!$A$2:$B$13,2,0),"")</f>
        <v>普通教室(原班)</v>
      </c>
      <c r="O12" s="10"/>
      <c r="P12" s="10"/>
      <c r="Q12" s="10"/>
      <c r="R12" s="16"/>
    </row>
    <row r="13" customFormat="false" ht="15" hidden="false" customHeight="true" outlineLevel="0" collapsed="false">
      <c r="A13" s="11" t="s">
        <v>207</v>
      </c>
      <c r="B13" s="10" t="s">
        <v>208</v>
      </c>
      <c r="C13" s="11" t="s">
        <v>205</v>
      </c>
      <c r="D13" s="16" t="s">
        <v>206</v>
      </c>
      <c r="E13" s="10" t="s">
        <v>163</v>
      </c>
      <c r="F13" s="10" t="n">
        <v>2</v>
      </c>
      <c r="G13" s="10" t="n">
        <v>2</v>
      </c>
      <c r="H13" s="10" t="n">
        <v>2</v>
      </c>
      <c r="I13" s="10" t="n">
        <v>2</v>
      </c>
      <c r="J13" s="10" t="n">
        <v>2</v>
      </c>
      <c r="K13" s="10" t="n">
        <v>2</v>
      </c>
      <c r="L13" s="10" t="s">
        <v>169</v>
      </c>
      <c r="M13" s="11" t="s">
        <v>123</v>
      </c>
      <c r="N13" s="13" t="str">
        <f aca="false">IFERROR(VLOOKUP(M13,設定_場地表!$A$2:$B$13,2,0),"")</f>
        <v>操場/體育館</v>
      </c>
      <c r="O13" s="10" t="n">
        <v>2</v>
      </c>
      <c r="P13" s="10"/>
      <c r="Q13" s="11" t="s">
        <v>209</v>
      </c>
      <c r="R13" s="16" t="s">
        <v>210</v>
      </c>
    </row>
    <row r="14" customFormat="false" ht="15" hidden="false" customHeight="true" outlineLevel="0" collapsed="false">
      <c r="A14" s="11" t="s">
        <v>211</v>
      </c>
      <c r="B14" s="10" t="s">
        <v>212</v>
      </c>
      <c r="C14" s="11" t="s">
        <v>213</v>
      </c>
      <c r="D14" s="16" t="s">
        <v>214</v>
      </c>
      <c r="E14" s="10" t="s">
        <v>215</v>
      </c>
      <c r="F14" s="10" t="n">
        <v>1</v>
      </c>
      <c r="G14" s="10" t="n">
        <v>1</v>
      </c>
      <c r="H14" s="10" t="n">
        <v>1</v>
      </c>
      <c r="I14" s="10" t="n">
        <v>1</v>
      </c>
      <c r="J14" s="10" t="n">
        <v>1</v>
      </c>
      <c r="K14" s="10" t="n">
        <v>1</v>
      </c>
      <c r="L14" s="10" t="s">
        <v>164</v>
      </c>
      <c r="M14" s="11" t="s">
        <v>113</v>
      </c>
      <c r="N14" s="13" t="str">
        <f aca="false">IFERROR(VLOOKUP(M14,設定_場地表!$A$2:$B$13,2,0),"")</f>
        <v>普通教室(原班)</v>
      </c>
      <c r="O14" s="10"/>
      <c r="P14" s="10"/>
      <c r="Q14" s="10"/>
      <c r="R14" s="17" t="s">
        <v>216</v>
      </c>
    </row>
    <row r="15" customFormat="false" ht="15" hidden="false" customHeight="true" outlineLevel="0" collapsed="false">
      <c r="A15" s="11" t="s">
        <v>217</v>
      </c>
      <c r="B15" s="10" t="s">
        <v>218</v>
      </c>
      <c r="C15" s="11" t="s">
        <v>219</v>
      </c>
      <c r="D15" s="16" t="s">
        <v>214</v>
      </c>
      <c r="E15" s="10" t="s">
        <v>215</v>
      </c>
      <c r="F15" s="10" t="n">
        <v>1</v>
      </c>
      <c r="G15" s="10" t="n">
        <v>1</v>
      </c>
      <c r="H15" s="10" t="n">
        <v>1</v>
      </c>
      <c r="I15" s="10" t="n">
        <v>1</v>
      </c>
      <c r="J15" s="10" t="n">
        <v>1</v>
      </c>
      <c r="K15" s="10" t="n">
        <v>1</v>
      </c>
      <c r="L15" s="10" t="s">
        <v>169</v>
      </c>
      <c r="M15" s="11" t="s">
        <v>113</v>
      </c>
      <c r="N15" s="13" t="str">
        <f aca="false">IFERROR(VLOOKUP(M15,設定_場地表!$A$2:$B$13,2,0),"")</f>
        <v>普通教室(原班)</v>
      </c>
      <c r="O15" s="10"/>
      <c r="P15" s="10"/>
      <c r="Q15" s="10"/>
      <c r="R15" s="17" t="s">
        <v>216</v>
      </c>
    </row>
    <row r="16" customFormat="false" ht="15" hidden="false" customHeight="true" outlineLevel="0" collapsed="false">
      <c r="A16" s="11" t="s">
        <v>220</v>
      </c>
      <c r="B16" s="10" t="s">
        <v>221</v>
      </c>
      <c r="C16" s="11" t="s">
        <v>222</v>
      </c>
      <c r="D16" s="16" t="s">
        <v>214</v>
      </c>
      <c r="E16" s="10" t="s">
        <v>215</v>
      </c>
      <c r="F16" s="10" t="n">
        <v>0</v>
      </c>
      <c r="G16" s="10" t="n">
        <v>0</v>
      </c>
      <c r="H16" s="10" t="n">
        <v>1</v>
      </c>
      <c r="I16" s="10" t="n">
        <v>1</v>
      </c>
      <c r="J16" s="10" t="n">
        <v>1</v>
      </c>
      <c r="K16" s="10" t="n">
        <v>1</v>
      </c>
      <c r="L16" s="10" t="s">
        <v>169</v>
      </c>
      <c r="M16" s="11" t="s">
        <v>121</v>
      </c>
      <c r="N16" s="13" t="str">
        <f aca="false">IFERROR(VLOOKUP(M16,設定_場地表!$A$2:$B$13,2,0),"")</f>
        <v>電腦教室</v>
      </c>
      <c r="O16" s="10"/>
      <c r="P16" s="10"/>
      <c r="Q16" s="10"/>
      <c r="R16" s="17" t="s">
        <v>216</v>
      </c>
    </row>
    <row r="17" customFormat="false" ht="15" hidden="false" customHeight="true" outlineLevel="0" collapsed="false">
      <c r="A17" s="11" t="s">
        <v>223</v>
      </c>
      <c r="B17" s="10" t="s">
        <v>224</v>
      </c>
      <c r="C17" s="11" t="s">
        <v>225</v>
      </c>
      <c r="D17" s="16" t="s">
        <v>214</v>
      </c>
      <c r="E17" s="10" t="s">
        <v>215</v>
      </c>
      <c r="F17" s="10" t="n">
        <v>0</v>
      </c>
      <c r="G17" s="10" t="n">
        <v>0</v>
      </c>
      <c r="H17" s="10" t="n">
        <v>1</v>
      </c>
      <c r="I17" s="10" t="n">
        <v>1</v>
      </c>
      <c r="J17" s="10" t="n">
        <v>1</v>
      </c>
      <c r="K17" s="10" t="n">
        <v>1</v>
      </c>
      <c r="L17" s="10" t="s">
        <v>164</v>
      </c>
      <c r="M17" s="11" t="s">
        <v>113</v>
      </c>
      <c r="N17" s="13" t="str">
        <f aca="false">IFERROR(VLOOKUP(M17,設定_場地表!$A$2:$B$13,2,0),"")</f>
        <v>普通教室(原班)</v>
      </c>
      <c r="O17" s="10"/>
      <c r="P17" s="10"/>
      <c r="Q17" s="10"/>
      <c r="R17" s="17" t="s">
        <v>216</v>
      </c>
    </row>
    <row r="18" customFormat="false" ht="15" hidden="false" customHeight="true" outlineLevel="0" collapsed="false">
      <c r="A18" s="11" t="s">
        <v>226</v>
      </c>
      <c r="B18" s="10" t="s">
        <v>227</v>
      </c>
      <c r="C18" s="11" t="s">
        <v>228</v>
      </c>
      <c r="D18" s="16" t="s">
        <v>214</v>
      </c>
      <c r="E18" s="10" t="s">
        <v>215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1</v>
      </c>
      <c r="K18" s="10" t="n">
        <v>1</v>
      </c>
      <c r="L18" s="10" t="s">
        <v>169</v>
      </c>
      <c r="M18" s="11" t="s">
        <v>119</v>
      </c>
      <c r="N18" s="13" t="str">
        <f aca="false">IFERROR(VLOOKUP(M18,設定_場地表!$A$2:$B$13,2,0),"")</f>
        <v>音樂教室</v>
      </c>
      <c r="O18" s="10"/>
      <c r="P18" s="10"/>
      <c r="Q18" s="10"/>
      <c r="R18" s="17" t="s">
        <v>216</v>
      </c>
    </row>
    <row r="19" customFormat="false" ht="15" hidden="false" customHeight="true" outlineLevel="0" collapsed="false">
      <c r="A19" s="11" t="s">
        <v>229</v>
      </c>
      <c r="B19" s="10" t="s">
        <v>230</v>
      </c>
      <c r="C19" s="11" t="s">
        <v>231</v>
      </c>
      <c r="D19" s="16" t="s">
        <v>232</v>
      </c>
      <c r="E19" s="10" t="s">
        <v>215</v>
      </c>
      <c r="F19" s="10" t="n">
        <v>1</v>
      </c>
      <c r="G19" s="10" t="n">
        <v>1</v>
      </c>
      <c r="H19" s="10" t="n">
        <v>0</v>
      </c>
      <c r="I19" s="10" t="n">
        <v>0</v>
      </c>
      <c r="J19" s="10" t="n">
        <v>1</v>
      </c>
      <c r="K19" s="10" t="n">
        <v>1</v>
      </c>
      <c r="L19" s="10" t="s">
        <v>164</v>
      </c>
      <c r="M19" s="11" t="s">
        <v>113</v>
      </c>
      <c r="N19" s="13" t="str">
        <f aca="false">IFERROR(VLOOKUP(M19,設定_場地表!$A$2:$B$13,2,0),"")</f>
        <v>普通教室(原班)</v>
      </c>
      <c r="O19" s="10"/>
      <c r="P19" s="10"/>
      <c r="Q19" s="10"/>
      <c r="R19" s="17" t="s">
        <v>216</v>
      </c>
    </row>
    <row r="20" customFormat="false" ht="15" hidden="false" customHeight="true" outlineLevel="0" collapsed="false">
      <c r="B20" s="19" t="s">
        <v>233</v>
      </c>
      <c r="F20" s="19" t="n">
        <f aca="false">SUM(F2:F19)</f>
        <v>23</v>
      </c>
      <c r="G20" s="19" t="n">
        <f aca="false">SUM(G2:G19)</f>
        <v>23</v>
      </c>
      <c r="H20" s="19" t="n">
        <f aca="false">SUM(H2:H19)</f>
        <v>29</v>
      </c>
      <c r="I20" s="19" t="n">
        <f aca="false">SUM(I2:I19)</f>
        <v>29</v>
      </c>
      <c r="J20" s="19" t="n">
        <f aca="false">SUM(J2:J19)</f>
        <v>32</v>
      </c>
      <c r="K20" s="19" t="n">
        <f aca="false">SUM(K2:K19)</f>
        <v>32</v>
      </c>
    </row>
  </sheetData>
  <dataValidations count="1">
    <dataValidation allowBlank="true" errorStyle="stop" operator="between" showDropDown="false" showErrorMessage="false" showInputMessage="false" sqref="S2:S25" type="list">
      <formula1>"全程指定場地,連堂科任+單節原班"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6"/>
    <col collapsed="false" customWidth="true" hidden="false" outlineLevel="0" max="4" min="4" style="1" width="14"/>
    <col collapsed="false" customWidth="true" hidden="false" outlineLevel="0" max="5" min="5" style="1" width="6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10"/>
    <col collapsed="false" customWidth="true" hidden="false" outlineLevel="0" max="10" min="10" style="1" width="40"/>
  </cols>
  <sheetData>
    <row r="1" customFormat="false" ht="26.25" hidden="false" customHeight="true" outlineLevel="0" collapsed="false">
      <c r="A1" s="9" t="s">
        <v>68</v>
      </c>
      <c r="B1" s="9" t="s">
        <v>234</v>
      </c>
      <c r="C1" s="9" t="s">
        <v>235</v>
      </c>
      <c r="D1" s="9" t="s">
        <v>236</v>
      </c>
      <c r="E1" s="9" t="s">
        <v>237</v>
      </c>
      <c r="F1" s="9" t="s">
        <v>238</v>
      </c>
      <c r="G1" s="9" t="s">
        <v>239</v>
      </c>
      <c r="H1" s="9" t="s">
        <v>109</v>
      </c>
      <c r="I1" s="9" t="s">
        <v>240</v>
      </c>
      <c r="J1" s="9" t="s">
        <v>111</v>
      </c>
    </row>
    <row r="2" customFormat="false" ht="29.25" hidden="false" customHeight="true" outlineLevel="0" collapsed="false">
      <c r="A2" s="20" t="n">
        <v>1</v>
      </c>
      <c r="B2" s="21" t="s">
        <v>241</v>
      </c>
      <c r="C2" s="21" t="n">
        <v>1</v>
      </c>
      <c r="D2" s="21" t="s">
        <v>242</v>
      </c>
      <c r="E2" s="21" t="n">
        <v>20</v>
      </c>
      <c r="F2" s="21" t="s">
        <v>243</v>
      </c>
      <c r="G2" s="20" t="s">
        <v>113</v>
      </c>
      <c r="H2" s="13" t="str">
        <f aca="false">IFERROR(VLOOKUP(G2,設定_場地表!$A$2:$B$13,2,0),"")</f>
        <v>普通教室(原班)</v>
      </c>
      <c r="I2" s="10"/>
      <c r="J2" s="17" t="s">
        <v>244</v>
      </c>
    </row>
    <row r="3" customFormat="false" ht="15" hidden="false" customHeight="true" outlineLevel="0" collapsed="false">
      <c r="A3" s="21" t="n">
        <v>1</v>
      </c>
      <c r="B3" s="21" t="s">
        <v>241</v>
      </c>
      <c r="C3" s="21" t="n">
        <v>1</v>
      </c>
      <c r="D3" s="21" t="s">
        <v>245</v>
      </c>
      <c r="E3" s="21" t="n">
        <v>1</v>
      </c>
      <c r="F3" s="21" t="s">
        <v>246</v>
      </c>
      <c r="G3" s="20" t="s">
        <v>121</v>
      </c>
      <c r="H3" s="13" t="str">
        <f aca="false">IFERROR(VLOOKUP(G3,設定_場地表!$A$2:$B$13,2,0),"")</f>
        <v>電腦教室</v>
      </c>
      <c r="I3" s="21" t="s">
        <v>240</v>
      </c>
      <c r="J3" s="17" t="s">
        <v>247</v>
      </c>
    </row>
    <row r="4" customFormat="false" ht="15" hidden="false" customHeight="true" outlineLevel="0" collapsed="false">
      <c r="A4" s="10"/>
      <c r="B4" s="22"/>
      <c r="C4" s="13"/>
      <c r="D4" s="10"/>
      <c r="E4" s="10"/>
      <c r="F4" s="10"/>
      <c r="G4" s="11"/>
      <c r="H4" s="13" t="str">
        <f aca="false">IFERROR(VLOOKUP(G4,設定_場地表!$A$2:$B$13,2,0),"")</f>
        <v/>
      </c>
      <c r="I4" s="10"/>
      <c r="J4" s="16"/>
    </row>
    <row r="5" customFormat="false" ht="15" hidden="false" customHeight="true" outlineLevel="0" collapsed="false">
      <c r="A5" s="10"/>
      <c r="B5" s="22"/>
      <c r="C5" s="13"/>
      <c r="D5" s="10"/>
      <c r="E5" s="10"/>
      <c r="F5" s="10"/>
      <c r="G5" s="11"/>
      <c r="H5" s="13" t="str">
        <f aca="false">IFERROR(VLOOKUP(G5,設定_場地表!$A$2:$B$13,2,0),"")</f>
        <v/>
      </c>
      <c r="I5" s="10"/>
      <c r="J5" s="16"/>
    </row>
    <row r="6" customFormat="false" ht="29.25" hidden="false" customHeight="true" outlineLevel="0" collapsed="false">
      <c r="A6" s="10"/>
      <c r="B6" s="22"/>
      <c r="C6" s="13"/>
      <c r="D6" s="11"/>
      <c r="E6" s="10"/>
      <c r="F6" s="10"/>
      <c r="G6" s="11"/>
      <c r="H6" s="13" t="str">
        <f aca="false">IFERROR(VLOOKUP(G6,設定_場地表!$A$2:$B$13,2,0),"")</f>
        <v/>
      </c>
      <c r="I6" s="10"/>
      <c r="J6" s="16"/>
    </row>
    <row r="7" customFormat="false" ht="29.25" hidden="false" customHeight="true" outlineLevel="0" collapsed="false">
      <c r="A7" s="10"/>
      <c r="B7" s="22"/>
      <c r="C7" s="13"/>
      <c r="D7" s="11"/>
      <c r="E7" s="10"/>
      <c r="F7" s="10"/>
      <c r="G7" s="11"/>
      <c r="H7" s="13" t="str">
        <f aca="false">IFERROR(VLOOKUP(G7,設定_場地表!$A$2:$B$13,2,0),"")</f>
        <v/>
      </c>
      <c r="I7" s="10"/>
      <c r="J7" s="16"/>
    </row>
    <row r="8" customFormat="false" ht="15" hidden="false" customHeight="true" outlineLevel="0" collapsed="false">
      <c r="A8" s="10"/>
      <c r="B8" s="22"/>
      <c r="C8" s="13"/>
      <c r="D8" s="11"/>
      <c r="E8" s="10"/>
      <c r="F8" s="10"/>
      <c r="G8" s="11"/>
      <c r="H8" s="13" t="str">
        <f aca="false">IFERROR(VLOOKUP(G8,設定_場地表!$A$2:$B$13,2,0),"")</f>
        <v/>
      </c>
      <c r="I8" s="10"/>
      <c r="J8" s="16"/>
    </row>
    <row r="9" customFormat="false" ht="29.25" hidden="false" customHeight="true" outlineLevel="0" collapsed="false">
      <c r="A9" s="10"/>
      <c r="B9" s="22"/>
      <c r="C9" s="13"/>
      <c r="D9" s="11"/>
      <c r="E9" s="10"/>
      <c r="F9" s="10"/>
      <c r="G9" s="11"/>
      <c r="H9" s="13" t="str">
        <f aca="false">IFERROR(VLOOKUP(G9,設定_場地表!$A$2:$B$13,2,0),"")</f>
        <v/>
      </c>
      <c r="I9" s="10"/>
      <c r="J9" s="16"/>
    </row>
    <row r="10" customFormat="false" ht="29.25" hidden="false" customHeight="true" outlineLevel="0" collapsed="false">
      <c r="A10" s="10"/>
      <c r="B10" s="22"/>
      <c r="C10" s="13"/>
      <c r="D10" s="11"/>
      <c r="E10" s="10"/>
      <c r="F10" s="10"/>
      <c r="G10" s="11"/>
      <c r="H10" s="13" t="str">
        <f aca="false">IFERROR(VLOOKUP(G10,設定_場地表!$A$2:$B$13,2,0),"")</f>
        <v/>
      </c>
      <c r="I10" s="10"/>
      <c r="J10" s="16"/>
    </row>
    <row r="11" customFormat="false" ht="29.25" hidden="false" customHeight="true" outlineLevel="0" collapsed="false">
      <c r="A11" s="10"/>
      <c r="B11" s="22"/>
      <c r="C11" s="13"/>
      <c r="D11" s="11"/>
      <c r="E11" s="10"/>
      <c r="F11" s="10"/>
      <c r="G11" s="11"/>
      <c r="H11" s="13" t="str">
        <f aca="false">IFERROR(VLOOKUP(G11,設定_場地表!$A$2:$B$13,2,0),"")</f>
        <v/>
      </c>
      <c r="I11" s="10"/>
      <c r="J11" s="16"/>
    </row>
    <row r="12" customFormat="false" ht="29.25" hidden="false" customHeight="true" outlineLevel="0" collapsed="false">
      <c r="A12" s="10"/>
      <c r="B12" s="22"/>
      <c r="C12" s="13"/>
      <c r="D12" s="10"/>
      <c r="E12" s="10"/>
      <c r="F12" s="10"/>
      <c r="G12" s="11"/>
      <c r="H12" s="13" t="str">
        <f aca="false">IFERROR(VLOOKUP(G12,設定_場地表!$A$2:$B$13,2,0),"")</f>
        <v/>
      </c>
      <c r="I12" s="10"/>
      <c r="J12" s="16"/>
    </row>
    <row r="13" customFormat="false" ht="15" hidden="false" customHeight="true" outlineLevel="0" collapsed="false">
      <c r="A13" s="10"/>
      <c r="B13" s="22"/>
      <c r="C13" s="13"/>
      <c r="D13" s="10"/>
      <c r="E13" s="10"/>
      <c r="F13" s="10"/>
      <c r="G13" s="11"/>
      <c r="H13" s="13" t="str">
        <f aca="false">IFERROR(VLOOKUP(G13,設定_場地表!$A$2:$B$13,2,0),"")</f>
        <v/>
      </c>
      <c r="I13" s="10"/>
      <c r="J13" s="16"/>
    </row>
    <row r="14" customFormat="false" ht="15" hidden="false" customHeight="true" outlineLevel="0" collapsed="false">
      <c r="A14" s="10"/>
      <c r="B14" s="22"/>
      <c r="C14" s="13"/>
      <c r="D14" s="10"/>
      <c r="E14" s="10"/>
      <c r="F14" s="10"/>
      <c r="G14" s="11"/>
      <c r="H14" s="13" t="str">
        <f aca="false">IFERROR(VLOOKUP(G14,設定_場地表!$A$2:$B$13,2,0),"")</f>
        <v/>
      </c>
      <c r="I14" s="10"/>
      <c r="J14" s="16"/>
    </row>
    <row r="15" customFormat="false" ht="15" hidden="false" customHeight="true" outlineLevel="0" collapsed="false">
      <c r="A15" s="10"/>
      <c r="B15" s="22"/>
      <c r="C15" s="13"/>
      <c r="D15" s="10"/>
      <c r="E15" s="10"/>
      <c r="F15" s="10"/>
      <c r="G15" s="11"/>
      <c r="H15" s="13" t="str">
        <f aca="false">IFERROR(VLOOKUP(G15,設定_場地表!$A$2:$B$13,2,0),"")</f>
        <v/>
      </c>
      <c r="I15" s="10"/>
      <c r="J15" s="16"/>
    </row>
    <row r="16" customFormat="false" ht="29.25" hidden="false" customHeight="true" outlineLevel="0" collapsed="false">
      <c r="A16" s="10"/>
      <c r="B16" s="22"/>
      <c r="C16" s="13"/>
      <c r="D16" s="11"/>
      <c r="E16" s="10"/>
      <c r="F16" s="10"/>
      <c r="G16" s="11"/>
      <c r="H16" s="13" t="str">
        <f aca="false">IFERROR(VLOOKUP(G16,設定_場地表!$A$2:$B$13,2,0),"")</f>
        <v/>
      </c>
      <c r="I16" s="10"/>
      <c r="J16" s="16"/>
    </row>
    <row r="17" customFormat="false" ht="29.25" hidden="false" customHeight="true" outlineLevel="0" collapsed="false">
      <c r="A17" s="10"/>
      <c r="B17" s="22"/>
      <c r="C17" s="13"/>
      <c r="D17" s="10"/>
      <c r="E17" s="10"/>
      <c r="F17" s="10"/>
      <c r="G17" s="11"/>
      <c r="H17" s="13" t="str">
        <f aca="false">IFERROR(VLOOKUP(G17,設定_場地表!$A$2:$B$13,2,0),"")</f>
        <v/>
      </c>
      <c r="I17" s="10"/>
      <c r="J17" s="16"/>
    </row>
    <row r="18" customFormat="false" ht="15" hidden="false" customHeight="true" outlineLevel="0" collapsed="false">
      <c r="A18" s="10"/>
      <c r="B18" s="22"/>
      <c r="C18" s="13"/>
      <c r="D18" s="10"/>
      <c r="E18" s="10"/>
      <c r="F18" s="10"/>
      <c r="G18" s="11"/>
      <c r="H18" s="13" t="str">
        <f aca="false">IFERROR(VLOOKUP(G18,設定_場地表!$A$2:$B$13,2,0),"")</f>
        <v/>
      </c>
      <c r="I18" s="10"/>
      <c r="J18" s="16"/>
    </row>
    <row r="19" customFormat="false" ht="15" hidden="false" customHeight="true" outlineLevel="0" collapsed="false">
      <c r="A19" s="10"/>
      <c r="B19" s="22"/>
      <c r="C19" s="13"/>
      <c r="D19" s="10"/>
      <c r="E19" s="10"/>
      <c r="F19" s="10"/>
      <c r="G19" s="11"/>
      <c r="H19" s="13" t="str">
        <f aca="false">IFERROR(VLOOKUP(G19,設定_場地表!$A$2:$B$13,2,0),"")</f>
        <v/>
      </c>
      <c r="I19" s="10"/>
      <c r="J19" s="16"/>
    </row>
    <row r="20" customFormat="false" ht="15" hidden="false" customHeight="true" outlineLevel="0" collapsed="false">
      <c r="A20" s="10"/>
      <c r="B20" s="22"/>
      <c r="C20" s="13"/>
      <c r="D20" s="10"/>
      <c r="E20" s="10"/>
      <c r="F20" s="10"/>
      <c r="G20" s="11"/>
      <c r="H20" s="13" t="str">
        <f aca="false">IFERROR(VLOOKUP(G20,設定_場地表!$A$2:$B$13,2,0),"")</f>
        <v/>
      </c>
      <c r="I20" s="10"/>
      <c r="J20" s="16"/>
    </row>
    <row r="21" customFormat="false" ht="15" hidden="false" customHeight="true" outlineLevel="0" collapsed="false">
      <c r="A21" s="10"/>
      <c r="B21" s="22"/>
      <c r="C21" s="22"/>
      <c r="D21" s="10"/>
      <c r="E21" s="10"/>
      <c r="F21" s="10"/>
      <c r="G21" s="11"/>
      <c r="H21" s="13" t="str">
        <f aca="false">IFERROR(VLOOKUP(G21,設定_場地表!$A$2:$B$13,2,0),"")</f>
        <v/>
      </c>
      <c r="I21" s="10"/>
      <c r="J21" s="16"/>
    </row>
    <row r="22" customFormat="false" ht="29.25" hidden="false" customHeight="true" outlineLevel="0" collapsed="false">
      <c r="A22" s="10"/>
      <c r="B22" s="22"/>
      <c r="C22" s="13"/>
      <c r="D22" s="11"/>
      <c r="E22" s="10"/>
      <c r="F22" s="10"/>
      <c r="G22" s="11"/>
      <c r="H22" s="13" t="str">
        <f aca="false">IFERROR(VLOOKUP(G22,設定_場地表!$A$2:$B$13,2,0),"")</f>
        <v/>
      </c>
      <c r="I22" s="10"/>
      <c r="J22" s="16"/>
    </row>
    <row r="23" customFormat="false" ht="29.25" hidden="false" customHeight="true" outlineLevel="0" collapsed="false">
      <c r="A23" s="10"/>
      <c r="B23" s="22"/>
      <c r="C23" s="13"/>
      <c r="D23" s="10"/>
      <c r="E23" s="10"/>
      <c r="F23" s="10"/>
      <c r="G23" s="11"/>
      <c r="H23" s="13" t="str">
        <f aca="false">IFERROR(VLOOKUP(G23,設定_場地表!$A$2:$B$13,2,0),"")</f>
        <v/>
      </c>
      <c r="I23" s="10"/>
      <c r="J23" s="16"/>
    </row>
    <row r="24" customFormat="false" ht="15" hidden="false" customHeight="true" outlineLevel="0" collapsed="false">
      <c r="A24" s="10"/>
      <c r="B24" s="22"/>
      <c r="C24" s="13"/>
      <c r="D24" s="10"/>
      <c r="E24" s="10"/>
      <c r="F24" s="10"/>
      <c r="G24" s="11"/>
      <c r="H24" s="13" t="str">
        <f aca="false">IFERROR(VLOOKUP(G24,設定_場地表!$A$2:$B$13,2,0),"")</f>
        <v/>
      </c>
      <c r="I24" s="10"/>
      <c r="J24" s="16"/>
    </row>
    <row r="25" customFormat="false" ht="15" hidden="false" customHeight="true" outlineLevel="0" collapsed="false">
      <c r="A25" s="10"/>
      <c r="B25" s="22"/>
      <c r="C25" s="13"/>
      <c r="D25" s="10"/>
      <c r="E25" s="10"/>
      <c r="F25" s="10"/>
      <c r="G25" s="11"/>
      <c r="H25" s="13" t="str">
        <f aca="false">IFERROR(VLOOKUP(G25,設定_場地表!$A$2:$B$13,2,0),"")</f>
        <v/>
      </c>
      <c r="I25" s="10"/>
      <c r="J25" s="16"/>
    </row>
    <row r="26" customFormat="false" ht="15" hidden="false" customHeight="true" outlineLevel="0" collapsed="false">
      <c r="A26" s="10"/>
      <c r="B26" s="22"/>
      <c r="C26" s="13"/>
      <c r="D26" s="10"/>
      <c r="E26" s="10"/>
      <c r="F26" s="10"/>
      <c r="G26" s="11"/>
      <c r="H26" s="13" t="str">
        <f aca="false">IFERROR(VLOOKUP(G26,設定_場地表!$A$2:$B$13,2,0),"")</f>
        <v/>
      </c>
      <c r="I26" s="10"/>
      <c r="J26" s="16"/>
    </row>
    <row r="27" customFormat="false" ht="15" hidden="false" customHeight="true" outlineLevel="0" collapsed="false">
      <c r="A27" s="10"/>
      <c r="B27" s="22"/>
      <c r="C27" s="13"/>
      <c r="D27" s="10"/>
      <c r="E27" s="10"/>
      <c r="F27" s="10"/>
      <c r="G27" s="11"/>
      <c r="H27" s="13" t="str">
        <f aca="false">IFERROR(VLOOKUP(G27,設定_場地表!$A$2:$B$13,2,0),"")</f>
        <v/>
      </c>
      <c r="I27" s="10"/>
      <c r="J27" s="16"/>
    </row>
    <row r="28" customFormat="false" ht="29.25" hidden="false" customHeight="true" outlineLevel="0" collapsed="false">
      <c r="A28" s="10"/>
      <c r="B28" s="22"/>
      <c r="C28" s="13"/>
      <c r="D28" s="11"/>
      <c r="E28" s="10"/>
      <c r="F28" s="10"/>
      <c r="G28" s="11"/>
      <c r="H28" s="13" t="str">
        <f aca="false">IFERROR(VLOOKUP(G28,設定_場地表!$A$2:$B$13,2,0),"")</f>
        <v/>
      </c>
      <c r="I28" s="10"/>
      <c r="J28" s="16"/>
    </row>
    <row r="29" customFormat="false" ht="29.25" hidden="false" customHeight="true" outlineLevel="0" collapsed="false">
      <c r="A29" s="10"/>
      <c r="B29" s="22"/>
      <c r="C29" s="13"/>
      <c r="D29" s="10"/>
      <c r="E29" s="10"/>
      <c r="F29" s="10"/>
      <c r="G29" s="11"/>
      <c r="H29" s="13" t="str">
        <f aca="false">IFERROR(VLOOKUP(G29,設定_場地表!$A$2:$B$13,2,0),"")</f>
        <v/>
      </c>
      <c r="I29" s="10"/>
      <c r="J29" s="16"/>
    </row>
    <row r="30" customFormat="false" ht="15" hidden="false" customHeight="true" outlineLevel="0" collapsed="false">
      <c r="A30" s="10"/>
      <c r="B30" s="22"/>
      <c r="C30" s="13"/>
      <c r="D30" s="10"/>
      <c r="E30" s="10"/>
      <c r="F30" s="10"/>
      <c r="G30" s="11"/>
      <c r="H30" s="13" t="str">
        <f aca="false">IFERROR(VLOOKUP(G30,設定_場地表!$A$2:$B$13,2,0),"")</f>
        <v/>
      </c>
      <c r="I30" s="10"/>
      <c r="J30" s="16"/>
    </row>
    <row r="31" customFormat="false" ht="15" hidden="false" customHeight="true" outlineLevel="0" collapsed="false">
      <c r="A31" s="10"/>
      <c r="B31" s="22"/>
      <c r="C31" s="13"/>
      <c r="D31" s="10"/>
      <c r="E31" s="10"/>
      <c r="F31" s="10"/>
      <c r="G31" s="11"/>
      <c r="H31" s="13" t="str">
        <f aca="false">IFERROR(VLOOKUP(G31,設定_場地表!$A$2:$B$13,2,0),"")</f>
        <v/>
      </c>
      <c r="I31" s="10"/>
      <c r="J31" s="16"/>
    </row>
    <row r="32" customFormat="false" ht="15" hidden="false" customHeight="true" outlineLevel="0" collapsed="false">
      <c r="A32" s="10"/>
      <c r="B32" s="22"/>
      <c r="C32" s="22"/>
      <c r="D32" s="10"/>
      <c r="E32" s="10"/>
      <c r="F32" s="10"/>
      <c r="G32" s="11"/>
      <c r="H32" s="13" t="str">
        <f aca="false">IFERROR(VLOOKUP(G32,設定_場地表!$A$2:$B$13,2,0),"")</f>
        <v/>
      </c>
      <c r="I32" s="10"/>
      <c r="J32" s="16"/>
    </row>
    <row r="33" customFormat="false" ht="15" hidden="false" customHeight="true" outlineLevel="0" collapsed="false">
      <c r="A33" s="10"/>
      <c r="B33" s="22"/>
      <c r="C33" s="22"/>
      <c r="D33" s="10"/>
      <c r="E33" s="10"/>
      <c r="F33" s="10"/>
      <c r="G33" s="11"/>
      <c r="H33" s="13" t="str">
        <f aca="false">IFERROR(VLOOKUP(G33,設定_場地表!$A$2:$B$13,2,0),"")</f>
        <v/>
      </c>
      <c r="I33" s="10"/>
      <c r="J33" s="16"/>
    </row>
    <row r="34" customFormat="false" ht="29.25" hidden="false" customHeight="true" outlineLevel="0" collapsed="false">
      <c r="A34" s="10"/>
      <c r="B34" s="22"/>
      <c r="C34" s="13"/>
      <c r="D34" s="11"/>
      <c r="E34" s="10"/>
      <c r="F34" s="10"/>
      <c r="G34" s="11"/>
      <c r="H34" s="13" t="str">
        <f aca="false">IFERROR(VLOOKUP(G34,設定_場地表!$A$2:$B$13,2,0),"")</f>
        <v/>
      </c>
      <c r="I34" s="10"/>
      <c r="J34" s="16"/>
    </row>
    <row r="35" customFormat="false" ht="29.25" hidden="false" customHeight="true" outlineLevel="0" collapsed="false">
      <c r="A35" s="10"/>
      <c r="B35" s="22"/>
      <c r="C35" s="13"/>
      <c r="D35" s="11"/>
      <c r="E35" s="10"/>
      <c r="F35" s="10"/>
      <c r="G35" s="11"/>
      <c r="H35" s="13" t="str">
        <f aca="false">IFERROR(VLOOKUP(G35,設定_場地表!$A$2:$B$13,2,0),"")</f>
        <v/>
      </c>
      <c r="I35" s="10"/>
      <c r="J35" s="16"/>
    </row>
    <row r="36" customFormat="false" ht="29.25" hidden="false" customHeight="true" outlineLevel="0" collapsed="false">
      <c r="A36" s="10"/>
      <c r="B36" s="22"/>
      <c r="C36" s="13"/>
      <c r="D36" s="10"/>
      <c r="E36" s="10"/>
      <c r="F36" s="10"/>
      <c r="G36" s="11"/>
      <c r="H36" s="13" t="str">
        <f aca="false">IFERROR(VLOOKUP(G36,設定_場地表!$A$2:$B$13,2,0),"")</f>
        <v/>
      </c>
      <c r="I36" s="10"/>
      <c r="J36" s="16"/>
    </row>
    <row r="37" customFormat="false" ht="15" hidden="false" customHeight="true" outlineLevel="0" collapsed="false">
      <c r="A37" s="10"/>
      <c r="B37" s="22"/>
      <c r="C37" s="13"/>
      <c r="D37" s="10"/>
      <c r="E37" s="10"/>
      <c r="F37" s="10"/>
      <c r="G37" s="11"/>
      <c r="H37" s="13" t="str">
        <f aca="false">IFERROR(VLOOKUP(G37,設定_場地表!$A$2:$B$13,2,0),"")</f>
        <v/>
      </c>
      <c r="I37" s="10"/>
      <c r="J37" s="16"/>
    </row>
    <row r="38" customFormat="false" ht="15" hidden="false" customHeight="true" outlineLevel="0" collapsed="false">
      <c r="A38" s="10"/>
      <c r="B38" s="22"/>
      <c r="C38" s="13"/>
      <c r="D38" s="10"/>
      <c r="E38" s="10"/>
      <c r="F38" s="10"/>
      <c r="G38" s="11"/>
      <c r="H38" s="13" t="str">
        <f aca="false">IFERROR(VLOOKUP(G38,設定_場地表!$A$2:$B$13,2,0),"")</f>
        <v/>
      </c>
      <c r="I38" s="10"/>
      <c r="J38" s="16"/>
    </row>
    <row r="39" customFormat="false" ht="29.25" hidden="false" customHeight="true" outlineLevel="0" collapsed="false">
      <c r="A39" s="10"/>
      <c r="B39" s="22"/>
      <c r="C39" s="13"/>
      <c r="D39" s="11"/>
      <c r="E39" s="10"/>
      <c r="F39" s="10"/>
      <c r="G39" s="11"/>
      <c r="H39" s="13" t="str">
        <f aca="false">IFERROR(VLOOKUP(G39,設定_場地表!$A$2:$B$13,2,0),"")</f>
        <v/>
      </c>
      <c r="I39" s="10"/>
      <c r="J39" s="16"/>
    </row>
    <row r="41" customFormat="false" ht="15" hidden="false" customHeight="true" outlineLevel="0" collapsed="false">
      <c r="B41" s="18"/>
    </row>
    <row r="45" customFormat="false" ht="15" hidden="false" customHeight="true" outlineLevel="0" collapsed="false">
      <c r="B45" s="18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66"/>
    <col collapsed="false" customWidth="true" hidden="false" outlineLevel="0" max="5" min="5" style="1" width="12"/>
    <col collapsed="false" customWidth="true" hidden="false" outlineLevel="0" max="6" min="6" style="1" width="8"/>
  </cols>
  <sheetData>
    <row r="1" customFormat="false" ht="15" hidden="false" customHeight="true" outlineLevel="0" collapsed="false">
      <c r="A1" s="15" t="s">
        <v>249</v>
      </c>
      <c r="B1" s="9" t="s">
        <v>250</v>
      </c>
      <c r="C1" s="9" t="s">
        <v>251</v>
      </c>
      <c r="D1" s="9" t="s">
        <v>252</v>
      </c>
      <c r="E1" s="9" t="s">
        <v>253</v>
      </c>
      <c r="F1" s="9" t="s">
        <v>254</v>
      </c>
    </row>
    <row r="2" customFormat="false" ht="15" hidden="false" customHeight="true" outlineLevel="0" collapsed="false">
      <c r="A2" s="11" t="s">
        <v>255</v>
      </c>
      <c r="B2" s="10" t="s">
        <v>256</v>
      </c>
      <c r="C2" s="10" t="s">
        <v>257</v>
      </c>
      <c r="D2" s="16" t="s">
        <v>258</v>
      </c>
      <c r="E2" s="11" t="s">
        <v>259</v>
      </c>
      <c r="F2" s="10" t="s">
        <v>260</v>
      </c>
    </row>
    <row r="3" customFormat="false" ht="15" hidden="false" customHeight="true" outlineLevel="0" collapsed="false">
      <c r="A3" s="11" t="s">
        <v>261</v>
      </c>
      <c r="B3" s="10" t="s">
        <v>256</v>
      </c>
      <c r="C3" s="10" t="s">
        <v>257</v>
      </c>
      <c r="D3" s="16" t="s">
        <v>262</v>
      </c>
      <c r="E3" s="11" t="s">
        <v>259</v>
      </c>
      <c r="F3" s="10" t="s">
        <v>260</v>
      </c>
    </row>
    <row r="4" customFormat="false" ht="15" hidden="false" customHeight="true" outlineLevel="0" collapsed="false">
      <c r="A4" s="11" t="s">
        <v>263</v>
      </c>
      <c r="B4" s="10" t="s">
        <v>256</v>
      </c>
      <c r="C4" s="10" t="s">
        <v>264</v>
      </c>
      <c r="D4" s="16" t="s">
        <v>265</v>
      </c>
      <c r="E4" s="11" t="s">
        <v>259</v>
      </c>
      <c r="F4" s="10" t="s">
        <v>260</v>
      </c>
    </row>
    <row r="5" customFormat="false" ht="15" hidden="false" customHeight="true" outlineLevel="0" collapsed="false">
      <c r="A5" s="11" t="s">
        <v>266</v>
      </c>
      <c r="B5" s="10" t="s">
        <v>256</v>
      </c>
      <c r="C5" s="10" t="s">
        <v>267</v>
      </c>
      <c r="D5" s="16" t="s">
        <v>268</v>
      </c>
      <c r="E5" s="11" t="s">
        <v>259</v>
      </c>
      <c r="F5" s="10" t="s">
        <v>260</v>
      </c>
    </row>
    <row r="6" customFormat="false" ht="15" hidden="false" customHeight="true" outlineLevel="0" collapsed="false">
      <c r="A6" s="11" t="s">
        <v>269</v>
      </c>
      <c r="B6" s="10" t="s">
        <v>256</v>
      </c>
      <c r="C6" s="10" t="s">
        <v>267</v>
      </c>
      <c r="D6" s="16" t="s">
        <v>270</v>
      </c>
      <c r="E6" s="11" t="s">
        <v>259</v>
      </c>
      <c r="F6" s="10" t="s">
        <v>260</v>
      </c>
    </row>
    <row r="7" customFormat="false" ht="15" hidden="false" customHeight="true" outlineLevel="0" collapsed="false">
      <c r="A7" s="11" t="s">
        <v>271</v>
      </c>
      <c r="B7" s="10" t="s">
        <v>256</v>
      </c>
      <c r="C7" s="10" t="s">
        <v>272</v>
      </c>
      <c r="D7" s="16" t="s">
        <v>273</v>
      </c>
      <c r="E7" s="11" t="s">
        <v>259</v>
      </c>
      <c r="F7" s="10" t="s">
        <v>260</v>
      </c>
    </row>
    <row r="8" customFormat="false" ht="15" hidden="false" customHeight="true" outlineLevel="0" collapsed="false">
      <c r="A8" s="11" t="s">
        <v>274</v>
      </c>
      <c r="B8" s="10" t="s">
        <v>256</v>
      </c>
      <c r="C8" s="10" t="s">
        <v>275</v>
      </c>
      <c r="D8" s="16" t="s">
        <v>276</v>
      </c>
      <c r="E8" s="11" t="s">
        <v>259</v>
      </c>
      <c r="F8" s="10" t="s">
        <v>260</v>
      </c>
    </row>
    <row r="9" customFormat="false" ht="15" hidden="false" customHeight="true" outlineLevel="0" collapsed="false">
      <c r="A9" s="11" t="s">
        <v>277</v>
      </c>
      <c r="B9" s="10" t="s">
        <v>256</v>
      </c>
      <c r="C9" s="10" t="s">
        <v>272</v>
      </c>
      <c r="D9" s="16" t="s">
        <v>278</v>
      </c>
      <c r="E9" s="11" t="s">
        <v>259</v>
      </c>
      <c r="F9" s="10" t="s">
        <v>260</v>
      </c>
    </row>
    <row r="10" customFormat="false" ht="15" hidden="false" customHeight="true" outlineLevel="0" collapsed="false">
      <c r="A10" s="11" t="s">
        <v>279</v>
      </c>
      <c r="B10" s="10" t="s">
        <v>256</v>
      </c>
      <c r="C10" s="10" t="s">
        <v>272</v>
      </c>
      <c r="D10" s="16" t="s">
        <v>280</v>
      </c>
      <c r="E10" s="11" t="s">
        <v>259</v>
      </c>
      <c r="F10" s="10" t="s">
        <v>260</v>
      </c>
    </row>
    <row r="11" customFormat="false" ht="15" hidden="false" customHeight="true" outlineLevel="0" collapsed="false">
      <c r="A11" s="11" t="s">
        <v>281</v>
      </c>
      <c r="B11" s="10" t="s">
        <v>256</v>
      </c>
      <c r="C11" s="10" t="s">
        <v>282</v>
      </c>
      <c r="D11" s="16" t="s">
        <v>283</v>
      </c>
      <c r="E11" s="11" t="s">
        <v>259</v>
      </c>
      <c r="F11" s="10" t="s">
        <v>260</v>
      </c>
    </row>
    <row r="12" customFormat="false" ht="15" hidden="false" customHeight="true" outlineLevel="0" collapsed="false">
      <c r="A12" s="11" t="s">
        <v>284</v>
      </c>
      <c r="B12" s="10" t="s">
        <v>256</v>
      </c>
      <c r="C12" s="10" t="s">
        <v>264</v>
      </c>
      <c r="D12" s="16" t="s">
        <v>285</v>
      </c>
      <c r="E12" s="11" t="s">
        <v>259</v>
      </c>
      <c r="F12" s="10" t="s">
        <v>260</v>
      </c>
    </row>
    <row r="13" customFormat="false" ht="15" hidden="false" customHeight="true" outlineLevel="0" collapsed="false">
      <c r="A13" s="11" t="s">
        <v>286</v>
      </c>
      <c r="B13" s="10" t="s">
        <v>256</v>
      </c>
      <c r="C13" s="10" t="s">
        <v>287</v>
      </c>
      <c r="D13" s="16" t="s">
        <v>288</v>
      </c>
      <c r="E13" s="11" t="s">
        <v>259</v>
      </c>
      <c r="F13" s="10" t="s">
        <v>260</v>
      </c>
    </row>
    <row r="14" customFormat="false" ht="15" hidden="false" customHeight="true" outlineLevel="0" collapsed="false">
      <c r="A14" s="11" t="s">
        <v>289</v>
      </c>
      <c r="B14" s="10" t="s">
        <v>256</v>
      </c>
      <c r="C14" s="10" t="s">
        <v>290</v>
      </c>
      <c r="D14" s="16" t="s">
        <v>291</v>
      </c>
      <c r="E14" s="11" t="s">
        <v>259</v>
      </c>
      <c r="F14" s="10" t="s">
        <v>260</v>
      </c>
    </row>
    <row r="15" customFormat="false" ht="15" hidden="false" customHeight="true" outlineLevel="0" collapsed="false">
      <c r="A15" s="11" t="s">
        <v>292</v>
      </c>
      <c r="B15" s="10" t="s">
        <v>293</v>
      </c>
      <c r="C15" s="10" t="s">
        <v>294</v>
      </c>
      <c r="D15" s="16" t="s">
        <v>295</v>
      </c>
      <c r="E15" s="11" t="s">
        <v>296</v>
      </c>
      <c r="F15" s="10" t="s">
        <v>260</v>
      </c>
    </row>
    <row r="16" customFormat="false" ht="15" hidden="false" customHeight="true" outlineLevel="0" collapsed="false">
      <c r="A16" s="11" t="s">
        <v>297</v>
      </c>
      <c r="B16" s="10" t="s">
        <v>293</v>
      </c>
      <c r="C16" s="10" t="s">
        <v>294</v>
      </c>
      <c r="D16" s="16" t="s">
        <v>298</v>
      </c>
      <c r="E16" s="11" t="s">
        <v>296</v>
      </c>
      <c r="F16" s="10" t="s">
        <v>260</v>
      </c>
    </row>
    <row r="17" customFormat="false" ht="15" hidden="false" customHeight="true" outlineLevel="0" collapsed="false">
      <c r="A17" s="11" t="s">
        <v>299</v>
      </c>
      <c r="B17" s="10" t="s">
        <v>293</v>
      </c>
      <c r="C17" s="10" t="s">
        <v>294</v>
      </c>
      <c r="D17" s="16" t="s">
        <v>300</v>
      </c>
      <c r="E17" s="11" t="s">
        <v>301</v>
      </c>
      <c r="F17" s="10" t="s">
        <v>260</v>
      </c>
    </row>
    <row r="18" customFormat="false" ht="15" hidden="false" customHeight="true" outlineLevel="0" collapsed="false">
      <c r="A18" s="11" t="s">
        <v>302</v>
      </c>
      <c r="B18" s="10" t="s">
        <v>293</v>
      </c>
      <c r="C18" s="10" t="s">
        <v>294</v>
      </c>
      <c r="D18" s="16" t="s">
        <v>303</v>
      </c>
      <c r="E18" s="11" t="s">
        <v>301</v>
      </c>
      <c r="F18" s="10" t="s">
        <v>260</v>
      </c>
    </row>
    <row r="19" customFormat="false" ht="15" hidden="false" customHeight="true" outlineLevel="0" collapsed="false">
      <c r="A19" s="11" t="s">
        <v>304</v>
      </c>
      <c r="B19" s="10" t="s">
        <v>293</v>
      </c>
      <c r="C19" s="10" t="s">
        <v>294</v>
      </c>
      <c r="D19" s="16" t="s">
        <v>305</v>
      </c>
      <c r="E19" s="11" t="s">
        <v>301</v>
      </c>
      <c r="F19" s="10" t="s">
        <v>260</v>
      </c>
    </row>
    <row r="20" customFormat="false" ht="15" hidden="false" customHeight="true" outlineLevel="0" collapsed="false">
      <c r="A20" s="11" t="s">
        <v>306</v>
      </c>
      <c r="B20" s="10" t="s">
        <v>293</v>
      </c>
      <c r="C20" s="10" t="s">
        <v>294</v>
      </c>
      <c r="D20" s="16" t="s">
        <v>307</v>
      </c>
      <c r="E20" s="11" t="s">
        <v>308</v>
      </c>
      <c r="F20" s="10" t="s">
        <v>260</v>
      </c>
    </row>
    <row r="21" customFormat="false" ht="15" hidden="false" customHeight="true" outlineLevel="0" collapsed="false">
      <c r="A21" s="11" t="s">
        <v>309</v>
      </c>
      <c r="B21" s="10" t="s">
        <v>293</v>
      </c>
      <c r="C21" s="10" t="s">
        <v>294</v>
      </c>
      <c r="D21" s="16" t="s">
        <v>310</v>
      </c>
      <c r="E21" s="11" t="s">
        <v>308</v>
      </c>
      <c r="F21" s="10" t="s">
        <v>260</v>
      </c>
    </row>
    <row r="22" customFormat="false" ht="15" hidden="false" customHeight="true" outlineLevel="0" collapsed="false">
      <c r="A22" s="11" t="s">
        <v>311</v>
      </c>
      <c r="B22" s="10" t="s">
        <v>293</v>
      </c>
      <c r="C22" s="10" t="s">
        <v>312</v>
      </c>
      <c r="D22" s="16" t="s">
        <v>313</v>
      </c>
      <c r="E22" s="11" t="s">
        <v>301</v>
      </c>
      <c r="F22" s="10" t="s">
        <v>260</v>
      </c>
    </row>
    <row r="23" customFormat="false" ht="15" hidden="false" customHeight="true" outlineLevel="0" collapsed="false">
      <c r="A23" s="11" t="s">
        <v>314</v>
      </c>
      <c r="B23" s="10" t="s">
        <v>293</v>
      </c>
      <c r="C23" s="10" t="s">
        <v>312</v>
      </c>
      <c r="D23" s="16" t="s">
        <v>315</v>
      </c>
      <c r="E23" s="11" t="s">
        <v>301</v>
      </c>
      <c r="F23" s="10" t="s">
        <v>260</v>
      </c>
    </row>
    <row r="24" customFormat="false" ht="29.25" hidden="false" customHeight="true" outlineLevel="0" collapsed="false">
      <c r="A24" s="11" t="s">
        <v>316</v>
      </c>
      <c r="B24" s="10" t="s">
        <v>256</v>
      </c>
      <c r="C24" s="10" t="s">
        <v>317</v>
      </c>
      <c r="D24" s="16" t="s">
        <v>318</v>
      </c>
      <c r="E24" s="11" t="s">
        <v>259</v>
      </c>
      <c r="F24" s="10" t="s">
        <v>260</v>
      </c>
    </row>
    <row r="25" customFormat="false" ht="15" hidden="false" customHeight="true" outlineLevel="0" collapsed="false">
      <c r="A25" s="11" t="s">
        <v>319</v>
      </c>
      <c r="B25" s="10" t="s">
        <v>256</v>
      </c>
      <c r="C25" s="10" t="s">
        <v>317</v>
      </c>
      <c r="D25" s="16" t="s">
        <v>320</v>
      </c>
      <c r="E25" s="11" t="s">
        <v>259</v>
      </c>
      <c r="F25" s="10" t="s">
        <v>260</v>
      </c>
    </row>
    <row r="26" customFormat="false" ht="15" hidden="false" customHeight="true" outlineLevel="0" collapsed="false">
      <c r="A26" s="11" t="s">
        <v>321</v>
      </c>
      <c r="B26" s="10" t="s">
        <v>256</v>
      </c>
      <c r="C26" s="10" t="s">
        <v>317</v>
      </c>
      <c r="D26" s="16" t="s">
        <v>322</v>
      </c>
      <c r="E26" s="11" t="s">
        <v>259</v>
      </c>
      <c r="F26" s="10" t="s">
        <v>260</v>
      </c>
    </row>
    <row r="27" customFormat="false" ht="15" hidden="false" customHeight="false" outlineLevel="0" collapsed="false">
      <c r="A27" s="23" t="s">
        <v>323</v>
      </c>
      <c r="B27" s="24" t="s">
        <v>256</v>
      </c>
      <c r="C27" s="24" t="s">
        <v>324</v>
      </c>
      <c r="D27" s="24" t="s">
        <v>325</v>
      </c>
      <c r="E27" s="23" t="s">
        <v>259</v>
      </c>
      <c r="F27" s="24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60"/>
  </cols>
  <sheetData>
    <row r="1" customFormat="false" ht="15" hidden="false" customHeight="true" outlineLevel="0" collapsed="false">
      <c r="A1" s="9" t="s">
        <v>326</v>
      </c>
      <c r="B1" s="9" t="s">
        <v>327</v>
      </c>
      <c r="C1" s="9" t="s">
        <v>328</v>
      </c>
    </row>
    <row r="2" customFormat="false" ht="15" hidden="false" customHeight="true" outlineLevel="0" collapsed="false">
      <c r="A2" s="10" t="s">
        <v>164</v>
      </c>
      <c r="B2" s="10" t="n">
        <v>16</v>
      </c>
      <c r="C2" s="16" t="s">
        <v>329</v>
      </c>
    </row>
    <row r="3" customFormat="false" ht="15" hidden="false" customHeight="true" outlineLevel="0" collapsed="false">
      <c r="A3" s="10" t="s">
        <v>169</v>
      </c>
      <c r="B3" s="10" t="n">
        <v>20</v>
      </c>
      <c r="C3" s="16" t="s">
        <v>330</v>
      </c>
    </row>
    <row r="4" customFormat="false" ht="15" hidden="false" customHeight="true" outlineLevel="0" collapsed="false">
      <c r="A4" s="10" t="s">
        <v>331</v>
      </c>
      <c r="B4" s="10" t="n">
        <v>9</v>
      </c>
      <c r="C4" s="16" t="s">
        <v>332</v>
      </c>
    </row>
    <row r="5" customFormat="false" ht="15" hidden="false" customHeight="true" outlineLevel="0" collapsed="false">
      <c r="A5" s="10" t="s">
        <v>333</v>
      </c>
      <c r="B5" s="10" t="n">
        <v>3</v>
      </c>
      <c r="C5" s="16" t="s">
        <v>334</v>
      </c>
    </row>
    <row r="6" customFormat="false" ht="15" hidden="false" customHeight="true" outlineLevel="0" collapsed="false">
      <c r="A6" s="10" t="s">
        <v>335</v>
      </c>
      <c r="B6" s="10" t="n">
        <v>0</v>
      </c>
      <c r="C6" s="16" t="s">
        <v>336</v>
      </c>
    </row>
    <row r="7" customFormat="false" ht="15" hidden="false" customHeight="true" outlineLevel="0" collapsed="false">
      <c r="A7" s="10" t="s">
        <v>337</v>
      </c>
      <c r="B7" s="10" t="n">
        <v>0</v>
      </c>
      <c r="C7" s="16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40"/>
  </cols>
  <sheetData>
    <row r="1" customFormat="false" ht="15" hidden="false" customHeight="true" outlineLevel="0" collapsed="false">
      <c r="A1" s="9" t="s">
        <v>339</v>
      </c>
      <c r="B1" s="9" t="s">
        <v>326</v>
      </c>
      <c r="C1" s="9" t="s">
        <v>340</v>
      </c>
      <c r="D1" s="9" t="s">
        <v>341</v>
      </c>
      <c r="E1" s="9" t="s">
        <v>342</v>
      </c>
      <c r="F1" s="9" t="s">
        <v>111</v>
      </c>
    </row>
    <row r="2" customFormat="false" ht="15" hidden="false" customHeight="true" outlineLevel="0" collapsed="false">
      <c r="A2" s="21" t="s">
        <v>343</v>
      </c>
      <c r="B2" s="21" t="s">
        <v>164</v>
      </c>
      <c r="C2" s="13" t="n">
        <f aca="false">IF($B2="","",IFERROR(VLOOKUP($B2,設定_教師角色!$A$2:$B$7,2,0),0))</f>
        <v>16</v>
      </c>
      <c r="D2" s="10" t="n">
        <v>0</v>
      </c>
      <c r="E2" s="13" t="n">
        <f aca="false">IF($A2="","",IF($C2="","",$C2-$D2))</f>
        <v>16</v>
      </c>
      <c r="F2" s="17" t="s">
        <v>344</v>
      </c>
    </row>
    <row r="3" customFormat="false" ht="15" hidden="false" customHeight="true" outlineLevel="0" collapsed="false">
      <c r="A3" s="21" t="s">
        <v>345</v>
      </c>
      <c r="B3" s="21" t="s">
        <v>169</v>
      </c>
      <c r="C3" s="13" t="n">
        <f aca="false">IF($B3="","",IFERROR(VLOOKUP($B3,設定_教師角色!$A$2:$B$7,2,0),0))</f>
        <v>20</v>
      </c>
      <c r="D3" s="10" t="n">
        <v>0</v>
      </c>
      <c r="E3" s="13" t="n">
        <f aca="false">IF($A3="","",IF($C3="","",$C3-$D3))</f>
        <v>20</v>
      </c>
      <c r="F3" s="17" t="s">
        <v>247</v>
      </c>
    </row>
    <row r="4" customFormat="false" ht="15" hidden="false" customHeight="true" outlineLevel="0" collapsed="false">
      <c r="A4" s="21" t="s">
        <v>346</v>
      </c>
      <c r="B4" s="21" t="s">
        <v>333</v>
      </c>
      <c r="C4" s="13" t="n">
        <f aca="false">IF($B4="","",IFERROR(VLOOKUP($B4,設定_教師角色!$A$2:$B$7,2,0),0))</f>
        <v>3</v>
      </c>
      <c r="D4" s="10" t="n">
        <v>0</v>
      </c>
      <c r="E4" s="13" t="n">
        <f aca="false">IF($A4="","",IF($C4="","",$C4-$D4))</f>
        <v>3</v>
      </c>
      <c r="F4" s="17" t="s">
        <v>247</v>
      </c>
    </row>
    <row r="5" customFormat="false" ht="15" hidden="false" customHeight="true" outlineLevel="0" collapsed="false">
      <c r="A5" s="21" t="s">
        <v>347</v>
      </c>
      <c r="B5" s="21" t="s">
        <v>331</v>
      </c>
      <c r="C5" s="13" t="n">
        <f aca="false">IF($B5="","",IFERROR(VLOOKUP($B5,設定_教師角色!$A$2:$B$7,2,0),0))</f>
        <v>9</v>
      </c>
      <c r="D5" s="10" t="n">
        <v>0</v>
      </c>
      <c r="E5" s="13" t="n">
        <f aca="false">IF($A5="","",IF($C5="","",$C5-$D5))</f>
        <v>9</v>
      </c>
      <c r="F5" s="17" t="s">
        <v>247</v>
      </c>
    </row>
    <row r="6" customFormat="false" ht="15" hidden="false" customHeight="true" outlineLevel="0" collapsed="false">
      <c r="A6" s="21" t="s">
        <v>348</v>
      </c>
      <c r="B6" s="21" t="s">
        <v>337</v>
      </c>
      <c r="C6" s="13" t="n">
        <f aca="false">IF($B6="","",IFERROR(VLOOKUP($B6,設定_教師角色!$A$2:$B$7,2,0),0))</f>
        <v>0</v>
      </c>
      <c r="D6" s="10" t="n">
        <v>0</v>
      </c>
      <c r="E6" s="13" t="n">
        <f aca="false">IF($A6="","",IF($C6="","",$C6-$D6))</f>
        <v>0</v>
      </c>
      <c r="F6" s="17" t="s">
        <v>349</v>
      </c>
    </row>
    <row r="7" customFormat="false" ht="15" hidden="false" customHeight="true" outlineLevel="0" collapsed="false">
      <c r="A7" s="10" t="s">
        <v>350</v>
      </c>
      <c r="B7" s="10" t="s">
        <v>335</v>
      </c>
      <c r="C7" s="13" t="n">
        <f aca="false">IF($B7="","",IFERROR(VLOOKUP($B7,設定_教師角色!$A$2:$B$7,2,0),0))</f>
        <v>0</v>
      </c>
      <c r="D7" s="10" t="n">
        <v>0</v>
      </c>
      <c r="E7" s="13" t="n">
        <f aca="false">IF($A7="","",IF($C7="","",$C7-$D7))</f>
        <v>0</v>
      </c>
      <c r="F7" s="16" t="s">
        <v>351</v>
      </c>
    </row>
    <row r="8" customFormat="false" ht="15" hidden="false" customHeight="true" outlineLevel="0" collapsed="false">
      <c r="A8" s="10"/>
      <c r="B8" s="10"/>
      <c r="C8" s="13" t="str">
        <f aca="false">IF($B8="","",IFERROR(VLOOKUP($B8,設定_教師角色!$A$2:$B$7,2,0),0))</f>
        <v/>
      </c>
      <c r="D8" s="10" t="n">
        <v>0</v>
      </c>
      <c r="E8" s="13" t="str">
        <f aca="false">IF($A8="","",IF($C8="","",$C8-$D8))</f>
        <v/>
      </c>
      <c r="F8" s="16"/>
    </row>
    <row r="9" customFormat="false" ht="15" hidden="false" customHeight="true" outlineLevel="0" collapsed="false">
      <c r="A9" s="10"/>
      <c r="B9" s="10"/>
      <c r="C9" s="13" t="str">
        <f aca="false">IF($B9="","",IFERROR(VLOOKUP($B9,設定_教師角色!$A$2:$B$7,2,0),0))</f>
        <v/>
      </c>
      <c r="D9" s="10" t="n">
        <v>0</v>
      </c>
      <c r="E9" s="13" t="str">
        <f aca="false">IF($A9="","",IF($C9="","",$C9-$D9))</f>
        <v/>
      </c>
      <c r="F9" s="16"/>
    </row>
    <row r="10" customFormat="false" ht="15" hidden="false" customHeight="true" outlineLevel="0" collapsed="false">
      <c r="A10" s="10"/>
      <c r="B10" s="10"/>
      <c r="C10" s="13" t="str">
        <f aca="false">IF($B10="","",IFERROR(VLOOKUP($B10,設定_教師角色!$A$2:$B$7,2,0),0))</f>
        <v/>
      </c>
      <c r="D10" s="10" t="n">
        <v>0</v>
      </c>
      <c r="E10" s="13" t="str">
        <f aca="false">IF($A10="","",IF($C10="","",$C10-$D10))</f>
        <v/>
      </c>
      <c r="F10" s="16"/>
    </row>
    <row r="11" customFormat="false" ht="15" hidden="false" customHeight="true" outlineLevel="0" collapsed="false">
      <c r="A11" s="10"/>
      <c r="B11" s="10"/>
      <c r="C11" s="13" t="str">
        <f aca="false">IF($B11="","",IFERROR(VLOOKUP($B11,設定_教師角色!$A$2:$B$7,2,0),0))</f>
        <v/>
      </c>
      <c r="D11" s="10" t="n">
        <v>0</v>
      </c>
      <c r="E11" s="13" t="str">
        <f aca="false">IF($A11="","",IF($C11="","",$C11-$D11))</f>
        <v/>
      </c>
      <c r="F11" s="16"/>
    </row>
    <row r="12" customFormat="false" ht="15" hidden="false" customHeight="true" outlineLevel="0" collapsed="false">
      <c r="A12" s="10"/>
      <c r="B12" s="10"/>
      <c r="C12" s="13" t="str">
        <f aca="false">IF($B12="","",IFERROR(VLOOKUP($B12,設定_教師角色!$A$2:$B$7,2,0),0))</f>
        <v/>
      </c>
      <c r="D12" s="10" t="n">
        <v>0</v>
      </c>
      <c r="E12" s="13" t="str">
        <f aca="false">IF($A12="","",IF($C12="","",$C12-$D12))</f>
        <v/>
      </c>
      <c r="F12" s="16"/>
    </row>
    <row r="13" customFormat="false" ht="15" hidden="false" customHeight="true" outlineLevel="0" collapsed="false">
      <c r="A13" s="10"/>
      <c r="B13" s="10"/>
      <c r="C13" s="13" t="str">
        <f aca="false">IF($B13="","",IFERROR(VLOOKUP($B13,設定_教師角色!$A$2:$B$7,2,0),0))</f>
        <v/>
      </c>
      <c r="D13" s="10" t="n">
        <v>0</v>
      </c>
      <c r="E13" s="13" t="str">
        <f aca="false">IF($A13="","",IF($C13="","",$C13-$D13))</f>
        <v/>
      </c>
      <c r="F13" s="16"/>
    </row>
    <row r="14" customFormat="false" ht="15" hidden="false" customHeight="true" outlineLevel="0" collapsed="false">
      <c r="A14" s="10"/>
      <c r="B14" s="10"/>
      <c r="C14" s="13" t="str">
        <f aca="false">IF($B14="","",IFERROR(VLOOKUP($B14,設定_教師角色!$A$2:$B$7,2,0),0))</f>
        <v/>
      </c>
      <c r="D14" s="10" t="n">
        <v>0</v>
      </c>
      <c r="E14" s="13" t="str">
        <f aca="false">IF($A14="","",IF($C14="","",$C14-$D14))</f>
        <v/>
      </c>
      <c r="F14" s="16"/>
    </row>
    <row r="15" customFormat="false" ht="15" hidden="false" customHeight="true" outlineLevel="0" collapsed="false">
      <c r="A15" s="10"/>
      <c r="B15" s="10"/>
      <c r="C15" s="13" t="str">
        <f aca="false">IF($B15="","",IFERROR(VLOOKUP($B15,設定_教師角色!$A$2:$B$7,2,0),0))</f>
        <v/>
      </c>
      <c r="D15" s="10" t="n">
        <v>0</v>
      </c>
      <c r="E15" s="13" t="str">
        <f aca="false">IF($A15="","",IF($C15="","",$C15-$D15))</f>
        <v/>
      </c>
      <c r="F15" s="16"/>
    </row>
    <row r="16" customFormat="false" ht="15" hidden="false" customHeight="true" outlineLevel="0" collapsed="false">
      <c r="A16" s="10"/>
      <c r="B16" s="10"/>
      <c r="C16" s="13" t="str">
        <f aca="false">IF($B16="","",IFERROR(VLOOKUP($B16,設定_教師角色!$A$2:$B$7,2,0),0))</f>
        <v/>
      </c>
      <c r="D16" s="10" t="n">
        <v>0</v>
      </c>
      <c r="E16" s="13" t="str">
        <f aca="false">IF($A16="","",IF($C16="","",$C16-$D16))</f>
        <v/>
      </c>
      <c r="F16" s="16"/>
    </row>
    <row r="17" customFormat="false" ht="15" hidden="false" customHeight="true" outlineLevel="0" collapsed="false">
      <c r="A17" s="10"/>
      <c r="B17" s="10"/>
      <c r="C17" s="13" t="str">
        <f aca="false">IF($B17="","",IFERROR(VLOOKUP($B17,設定_教師角色!$A$2:$B$7,2,0),0))</f>
        <v/>
      </c>
      <c r="D17" s="10" t="n">
        <v>0</v>
      </c>
      <c r="E17" s="13" t="str">
        <f aca="false">IF($A17="","",IF($C17="","",$C17-$D17))</f>
        <v/>
      </c>
      <c r="F17" s="16"/>
    </row>
    <row r="18" customFormat="false" ht="15" hidden="false" customHeight="true" outlineLevel="0" collapsed="false">
      <c r="A18" s="10"/>
      <c r="B18" s="10"/>
      <c r="C18" s="13" t="str">
        <f aca="false">IF($B18="","",IFERROR(VLOOKUP($B18,設定_教師角色!$A$2:$B$7,2,0),0))</f>
        <v/>
      </c>
      <c r="D18" s="10" t="n">
        <v>0</v>
      </c>
      <c r="E18" s="13" t="str">
        <f aca="false">IF($A18="","",IF($C18="","",$C18-$D18))</f>
        <v/>
      </c>
      <c r="F18" s="16"/>
    </row>
    <row r="19" customFormat="false" ht="15" hidden="false" customHeight="true" outlineLevel="0" collapsed="false">
      <c r="A19" s="10"/>
      <c r="B19" s="10"/>
      <c r="C19" s="13" t="str">
        <f aca="false">IF($B19="","",IFERROR(VLOOKUP($B19,設定_教師角色!$A$2:$B$7,2,0),0))</f>
        <v/>
      </c>
      <c r="D19" s="10" t="n">
        <v>0</v>
      </c>
      <c r="E19" s="13" t="str">
        <f aca="false">IF($A19="","",IF($C19="","",$C19-$D19))</f>
        <v/>
      </c>
      <c r="F19" s="16"/>
    </row>
    <row r="20" customFormat="false" ht="15" hidden="false" customHeight="true" outlineLevel="0" collapsed="false">
      <c r="A20" s="10"/>
      <c r="B20" s="10"/>
      <c r="C20" s="13" t="str">
        <f aca="false">IF($B20="","",IFERROR(VLOOKUP($B20,設定_教師角色!$A$2:$B$7,2,0),0))</f>
        <v/>
      </c>
      <c r="D20" s="10" t="n">
        <v>0</v>
      </c>
      <c r="E20" s="13" t="str">
        <f aca="false">IF($A20="","",IF($C20="","",$C20-$D20))</f>
        <v/>
      </c>
      <c r="F20" s="16"/>
    </row>
    <row r="21" customFormat="false" ht="15" hidden="false" customHeight="true" outlineLevel="0" collapsed="false">
      <c r="A21" s="10"/>
      <c r="B21" s="10"/>
      <c r="C21" s="13" t="str">
        <f aca="false">IF($B21="","",IFERROR(VLOOKUP($B21,設定_教師角色!$A$2:$B$7,2,0),0))</f>
        <v/>
      </c>
      <c r="D21" s="10" t="n">
        <v>0</v>
      </c>
      <c r="E21" s="13" t="str">
        <f aca="false">IF($A21="","",IF($C21="","",$C21-$D21))</f>
        <v/>
      </c>
      <c r="F21" s="16"/>
    </row>
    <row r="22" customFormat="false" ht="15" hidden="false" customHeight="true" outlineLevel="0" collapsed="false">
      <c r="A22" s="10"/>
      <c r="B22" s="10"/>
      <c r="C22" s="13" t="str">
        <f aca="false">IF($B22="","",IFERROR(VLOOKUP($B22,設定_教師角色!$A$2:$B$7,2,0),0))</f>
        <v/>
      </c>
      <c r="D22" s="10" t="n">
        <v>0</v>
      </c>
      <c r="E22" s="13" t="str">
        <f aca="false">IF($A22="","",IF($C22="","",$C22-$D22))</f>
        <v/>
      </c>
      <c r="F22" s="16"/>
    </row>
    <row r="23" customFormat="false" ht="15" hidden="false" customHeight="true" outlineLevel="0" collapsed="false">
      <c r="A23" s="10"/>
      <c r="B23" s="10"/>
      <c r="C23" s="13" t="str">
        <f aca="false">IF($B23="","",IFERROR(VLOOKUP($B23,設定_教師角色!$A$2:$B$7,2,0),0))</f>
        <v/>
      </c>
      <c r="D23" s="10" t="n">
        <v>0</v>
      </c>
      <c r="E23" s="13" t="str">
        <f aca="false">IF($A23="","",IF($C23="","",$C23-$D23))</f>
        <v/>
      </c>
      <c r="F23" s="16"/>
    </row>
    <row r="24" customFormat="false" ht="15" hidden="false" customHeight="true" outlineLevel="0" collapsed="false">
      <c r="A24" s="10"/>
      <c r="B24" s="10"/>
      <c r="C24" s="13" t="str">
        <f aca="false">IF($B24="","",IFERROR(VLOOKUP($B24,設定_教師角色!$A$2:$B$7,2,0),0))</f>
        <v/>
      </c>
      <c r="D24" s="10" t="n">
        <v>0</v>
      </c>
      <c r="E24" s="13" t="str">
        <f aca="false">IF($A24="","",IF($C24="","",$C24-$D24))</f>
        <v/>
      </c>
      <c r="F24" s="16"/>
    </row>
    <row r="25" customFormat="false" ht="15" hidden="false" customHeight="true" outlineLevel="0" collapsed="false">
      <c r="A25" s="10"/>
      <c r="B25" s="10"/>
      <c r="C25" s="13" t="str">
        <f aca="false">IF($B25="","",IFERROR(VLOOKUP($B25,設定_教師角色!$A$2:$B$7,2,0),0))</f>
        <v/>
      </c>
      <c r="D25" s="10" t="n">
        <v>0</v>
      </c>
      <c r="E25" s="13" t="str">
        <f aca="false">IF($A25="","",IF($C25="","",$C25-$D25))</f>
        <v/>
      </c>
      <c r="F25" s="16"/>
    </row>
    <row r="26" customFormat="false" ht="15" hidden="false" customHeight="true" outlineLevel="0" collapsed="false">
      <c r="A26" s="10"/>
      <c r="B26" s="10"/>
      <c r="C26" s="13" t="str">
        <f aca="false">IF($B26="","",IFERROR(VLOOKUP($B26,設定_教師角色!$A$2:$B$7,2,0),0))</f>
        <v/>
      </c>
      <c r="D26" s="10" t="n">
        <v>0</v>
      </c>
      <c r="E26" s="13" t="str">
        <f aca="false">IF($A26="","",IF($C26="","",$C26-$D26))</f>
        <v/>
      </c>
      <c r="F26" s="16"/>
    </row>
    <row r="27" customFormat="false" ht="15" hidden="false" customHeight="true" outlineLevel="0" collapsed="false">
      <c r="A27" s="10"/>
      <c r="B27" s="10"/>
      <c r="C27" s="13" t="str">
        <f aca="false">IF($B27="","",IFERROR(VLOOKUP($B27,設定_教師角色!$A$2:$B$7,2,0),0))</f>
        <v/>
      </c>
      <c r="D27" s="10" t="n">
        <v>0</v>
      </c>
      <c r="E27" s="13" t="str">
        <f aca="false">IF($A27="","",IF($C27="","",$C27-$D27))</f>
        <v/>
      </c>
      <c r="F27" s="16"/>
    </row>
    <row r="28" customFormat="false" ht="15" hidden="false" customHeight="true" outlineLevel="0" collapsed="false">
      <c r="A28" s="10"/>
      <c r="B28" s="10"/>
      <c r="C28" s="13" t="str">
        <f aca="false">IF($B28="","",IFERROR(VLOOKUP($B28,設定_教師角色!$A$2:$B$7,2,0),0))</f>
        <v/>
      </c>
      <c r="D28" s="10" t="n">
        <v>0</v>
      </c>
      <c r="E28" s="13" t="str">
        <f aca="false">IF($A28="","",IF($C28="","",$C28-$D28))</f>
        <v/>
      </c>
      <c r="F28" s="16"/>
    </row>
    <row r="29" customFormat="false" ht="15" hidden="false" customHeight="true" outlineLevel="0" collapsed="false">
      <c r="A29" s="10"/>
      <c r="B29" s="10"/>
      <c r="C29" s="13" t="str">
        <f aca="false">IF($B29="","",IFERROR(VLOOKUP($B29,設定_教師角色!$A$2:$B$7,2,0),0))</f>
        <v/>
      </c>
      <c r="D29" s="10" t="n">
        <v>0</v>
      </c>
      <c r="E29" s="13" t="str">
        <f aca="false">IF($A29="","",IF($C29="","",$C29-$D29))</f>
        <v/>
      </c>
      <c r="F29" s="16"/>
    </row>
    <row r="30" customFormat="false" ht="15" hidden="false" customHeight="true" outlineLevel="0" collapsed="false">
      <c r="A30" s="10"/>
      <c r="B30" s="10"/>
      <c r="C30" s="13" t="str">
        <f aca="false">IF($B30="","",IFERROR(VLOOKUP($B30,設定_教師角色!$A$2:$B$7,2,0),0))</f>
        <v/>
      </c>
      <c r="D30" s="10" t="n">
        <v>0</v>
      </c>
      <c r="E30" s="13" t="str">
        <f aca="false">IF($A30="","",IF($C30="","",$C30-$D30))</f>
        <v/>
      </c>
      <c r="F30" s="16"/>
    </row>
    <row r="31" customFormat="false" ht="15" hidden="false" customHeight="true" outlineLevel="0" collapsed="false">
      <c r="A31" s="10"/>
      <c r="B31" s="10"/>
      <c r="C31" s="13" t="str">
        <f aca="false">IF($B31="","",IFERROR(VLOOKUP($B31,設定_教師角色!$A$2:$B$7,2,0),0))</f>
        <v/>
      </c>
      <c r="D31" s="10" t="n">
        <v>0</v>
      </c>
      <c r="E31" s="13" t="str">
        <f aca="false">IF($A31="","",IF($C31="","",$C31-$D31))</f>
        <v/>
      </c>
      <c r="F31" s="16"/>
    </row>
    <row r="32" customFormat="false" ht="15" hidden="false" customHeight="true" outlineLevel="0" collapsed="false">
      <c r="A32" s="10"/>
      <c r="B32" s="10"/>
      <c r="C32" s="13" t="str">
        <f aca="false">IF($B32="","",IFERROR(VLOOKUP($B32,設定_教師角色!$A$2:$B$7,2,0),0))</f>
        <v/>
      </c>
      <c r="D32" s="10" t="n">
        <v>0</v>
      </c>
      <c r="E32" s="13" t="str">
        <f aca="false">IF($A32="","",IF($C32="","",$C32-$D32))</f>
        <v/>
      </c>
      <c r="F32" s="16"/>
    </row>
    <row r="33" customFormat="false" ht="15" hidden="false" customHeight="true" outlineLevel="0" collapsed="false">
      <c r="A33" s="10"/>
      <c r="B33" s="10"/>
      <c r="C33" s="13" t="str">
        <f aca="false">IF($B33="","",IFERROR(VLOOKUP($B33,設定_教師角色!$A$2:$B$7,2,0),0))</f>
        <v/>
      </c>
      <c r="D33" s="10" t="n">
        <v>0</v>
      </c>
      <c r="E33" s="13" t="str">
        <f aca="false">IF($A33="","",IF($C33="","",$C33-$D33))</f>
        <v/>
      </c>
      <c r="F33" s="16"/>
    </row>
    <row r="34" customFormat="false" ht="15" hidden="false" customHeight="true" outlineLevel="0" collapsed="false">
      <c r="A34" s="10"/>
      <c r="B34" s="10"/>
      <c r="C34" s="13" t="str">
        <f aca="false">IF($B34="","",IFERROR(VLOOKUP($B34,設定_教師角色!$A$2:$B$7,2,0),0))</f>
        <v/>
      </c>
      <c r="D34" s="10" t="n">
        <v>0</v>
      </c>
      <c r="E34" s="13" t="str">
        <f aca="false">IF($A34="","",IF($C34="","",$C34-$D34))</f>
        <v/>
      </c>
      <c r="F34" s="16"/>
    </row>
    <row r="35" customFormat="false" ht="15" hidden="false" customHeight="true" outlineLevel="0" collapsed="false">
      <c r="A35" s="10"/>
      <c r="B35" s="10"/>
      <c r="C35" s="13" t="str">
        <f aca="false">IF($B35="","",IFERROR(VLOOKUP($B35,設定_教師角色!$A$2:$B$7,2,0),0))</f>
        <v/>
      </c>
      <c r="D35" s="10" t="n">
        <v>0</v>
      </c>
      <c r="E35" s="13" t="str">
        <f aca="false">IF($A35="","",IF($C35="","",$C35-$D35))</f>
        <v/>
      </c>
      <c r="F35" s="16"/>
    </row>
    <row r="36" customFormat="false" ht="15" hidden="false" customHeight="true" outlineLevel="0" collapsed="false">
      <c r="A36" s="10"/>
      <c r="B36" s="10"/>
      <c r="C36" s="13" t="str">
        <f aca="false">IF($B36="","",IFERROR(VLOOKUP($B36,設定_教師角色!$A$2:$B$7,2,0),0))</f>
        <v/>
      </c>
      <c r="D36" s="10" t="n">
        <v>0</v>
      </c>
      <c r="E36" s="13" t="str">
        <f aca="false">IF($A36="","",IF($C36="","",$C36-$D36))</f>
        <v/>
      </c>
      <c r="F36" s="16"/>
    </row>
    <row r="37" customFormat="false" ht="15" hidden="false" customHeight="true" outlineLevel="0" collapsed="false">
      <c r="A37" s="10"/>
      <c r="B37" s="10"/>
      <c r="C37" s="13" t="str">
        <f aca="false">IF($B37="","",IFERROR(VLOOKUP($B37,設定_教師角色!$A$2:$B$7,2,0),0))</f>
        <v/>
      </c>
      <c r="D37" s="10" t="n">
        <v>0</v>
      </c>
      <c r="E37" s="13" t="str">
        <f aca="false">IF($A37="","",IF($C37="","",$C37-$D37))</f>
        <v/>
      </c>
      <c r="F37" s="16"/>
    </row>
    <row r="38" customFormat="false" ht="15" hidden="false" customHeight="true" outlineLevel="0" collapsed="false">
      <c r="A38" s="10"/>
      <c r="B38" s="10"/>
      <c r="C38" s="13" t="str">
        <f aca="false">IF($B38="","",IFERROR(VLOOKUP($B38,設定_教師角色!$A$2:$B$7,2,0),0))</f>
        <v/>
      </c>
      <c r="D38" s="10" t="n">
        <v>0</v>
      </c>
      <c r="E38" s="13" t="str">
        <f aca="false">IF($A38="","",IF($C38="","",$C38-$D38))</f>
        <v/>
      </c>
      <c r="F38" s="16"/>
    </row>
    <row r="39" customFormat="false" ht="15" hidden="false" customHeight="true" outlineLevel="0" collapsed="false">
      <c r="A39" s="10"/>
      <c r="B39" s="10"/>
      <c r="C39" s="13" t="str">
        <f aca="false">IF($B39="","",IFERROR(VLOOKUP($B39,設定_教師角色!$A$2:$B$7,2,0),0))</f>
        <v/>
      </c>
      <c r="D39" s="10" t="n">
        <v>0</v>
      </c>
      <c r="E39" s="13" t="str">
        <f aca="false">IF($A39="","",IF($C39="","",$C39-$D39))</f>
        <v/>
      </c>
      <c r="F39" s="16"/>
    </row>
    <row r="40" customFormat="false" ht="29.25" hidden="false" customHeight="true" outlineLevel="0" collapsed="false">
      <c r="A40" s="10"/>
      <c r="B40" s="10"/>
      <c r="C40" s="13" t="str">
        <f aca="false">IF($B40="","",IFERROR(VLOOKUP($B40,設定_教師角色!$A$2:$B$7,2,0),0))</f>
        <v/>
      </c>
      <c r="D40" s="10" t="n">
        <v>0</v>
      </c>
      <c r="E40" s="13" t="str">
        <f aca="false">IF($A40="","",IF($C40="","",$C40-$D40))</f>
        <v/>
      </c>
      <c r="F40" s="16"/>
    </row>
    <row r="41" customFormat="false" ht="29.25" hidden="false" customHeight="true" outlineLevel="0" collapsed="false">
      <c r="A41" s="10"/>
      <c r="B41" s="10"/>
      <c r="C41" s="13" t="str">
        <f aca="false">IF($B41="","",IFERROR(VLOOKUP($B41,設定_教師角色!$A$2:$B$7,2,0),0))</f>
        <v/>
      </c>
      <c r="D41" s="10" t="n">
        <v>0</v>
      </c>
      <c r="E41" s="13" t="str">
        <f aca="false">IF($A41="","",IF($C41="","",$C41-$D41))</f>
        <v/>
      </c>
      <c r="F41" s="16"/>
    </row>
    <row r="42" customFormat="false" ht="29.25" hidden="false" customHeight="true" outlineLevel="0" collapsed="false">
      <c r="A42" s="10"/>
      <c r="B42" s="10"/>
      <c r="C42" s="13" t="str">
        <f aca="false">IF($B42="","",IFERROR(VLOOKUP($B42,設定_教師角色!$A$2:$B$7,2,0),0))</f>
        <v/>
      </c>
      <c r="D42" s="10" t="n">
        <v>0</v>
      </c>
      <c r="E42" s="13" t="str">
        <f aca="false">IF($A42="","",IF($C42="","",$C42-$D42))</f>
        <v/>
      </c>
      <c r="F42" s="16"/>
    </row>
    <row r="43" customFormat="false" ht="15" hidden="false" customHeight="true" outlineLevel="0" collapsed="false">
      <c r="A43" s="10"/>
      <c r="B43" s="10"/>
      <c r="C43" s="13" t="str">
        <f aca="false">IF($B43="","",IFERROR(VLOOKUP($B43,設定_教師角色!$A$2:$B$7,2,0),0))</f>
        <v/>
      </c>
      <c r="D43" s="10" t="n">
        <v>0</v>
      </c>
      <c r="E43" s="13" t="str">
        <f aca="false">IF($A43="","",IF($C43="","",$C43-$D43))</f>
        <v/>
      </c>
      <c r="F43" s="16"/>
    </row>
    <row r="44" customFormat="false" ht="15" hidden="false" customHeight="true" outlineLevel="0" collapsed="false">
      <c r="A44" s="10"/>
      <c r="B44" s="10"/>
      <c r="C44" s="13" t="str">
        <f aca="false">IF($B44="","",IFERROR(VLOOKUP($B44,設定_教師角色!$A$2:$B$7,2,0),0))</f>
        <v/>
      </c>
      <c r="D44" s="10" t="n">
        <v>0</v>
      </c>
      <c r="E44" s="13" t="str">
        <f aca="false">IF($A44="","",IF($C44="","",$C44-$D44))</f>
        <v/>
      </c>
      <c r="F44" s="16"/>
    </row>
    <row r="45" customFormat="false" ht="15" hidden="false" customHeight="true" outlineLevel="0" collapsed="false">
      <c r="A45" s="10"/>
      <c r="B45" s="10"/>
      <c r="C45" s="13" t="str">
        <f aca="false">IF($B45="","",IFERROR(VLOOKUP($B45,設定_教師角色!$A$2:$B$7,2,0),0))</f>
        <v/>
      </c>
      <c r="D45" s="10" t="n">
        <v>0</v>
      </c>
      <c r="E45" s="13" t="str">
        <f aca="false">IF($A45="","",IF($C45="","",$C45-$D45))</f>
        <v/>
      </c>
      <c r="F45" s="16"/>
    </row>
    <row r="46" customFormat="false" ht="29.25" hidden="false" customHeight="true" outlineLevel="0" collapsed="false">
      <c r="A46" s="10"/>
      <c r="B46" s="10"/>
      <c r="C46" s="13" t="str">
        <f aca="false">IF($B46="","",IFERROR(VLOOKUP($B46,設定_教師角色!$A$2:$B$7,2,0),0))</f>
        <v/>
      </c>
      <c r="D46" s="10" t="n">
        <v>0</v>
      </c>
      <c r="E46" s="13" t="str">
        <f aca="false">IF($A46="","",IF($C46="","",$C46-$D46))</f>
        <v/>
      </c>
      <c r="F46" s="16"/>
    </row>
    <row r="47" customFormat="false" ht="15" hidden="false" customHeight="true" outlineLevel="0" collapsed="false">
      <c r="A47" s="10"/>
      <c r="B47" s="10"/>
      <c r="C47" s="13" t="str">
        <f aca="false">IF($B47="","",IFERROR(VLOOKUP($B47,設定_教師角色!$A$2:$B$7,2,0),0))</f>
        <v/>
      </c>
      <c r="D47" s="1" t="n">
        <v>0</v>
      </c>
      <c r="E47" s="13" t="str">
        <f aca="false">IF($A47="","",IF($C47="","",$C47-$D47))</f>
        <v/>
      </c>
      <c r="F47" s="16"/>
    </row>
    <row r="48" customFormat="false" ht="15" hidden="false" customHeight="true" outlineLevel="0" collapsed="false">
      <c r="A48" s="10"/>
      <c r="B48" s="10"/>
      <c r="C48" s="13" t="str">
        <f aca="false">IF($B48="","",IFERROR(VLOOKUP($B48,設定_教師角色!$A$2:$B$7,2,0),0))</f>
        <v/>
      </c>
      <c r="D48" s="1" t="n">
        <v>0</v>
      </c>
      <c r="E48" s="13" t="str">
        <f aca="false">IF($A48="","",IF($C48="","",$C48-$D48))</f>
        <v/>
      </c>
      <c r="F48" s="16"/>
    </row>
    <row r="49" customFormat="false" ht="15" hidden="false" customHeight="true" outlineLevel="0" collapsed="false">
      <c r="A49" s="10"/>
      <c r="B49" s="10"/>
      <c r="C49" s="13" t="str">
        <f aca="false">IF($B49="","",IFERROR(VLOOKUP($B49,設定_教師角色!$A$2:$B$7,2,0),0))</f>
        <v/>
      </c>
      <c r="D49" s="1" t="n">
        <v>0</v>
      </c>
      <c r="E49" s="13" t="str">
        <f aca="false">IF($A49="","",IF($C49="","",$C49-$D49))</f>
        <v/>
      </c>
      <c r="F49" s="16"/>
    </row>
    <row r="50" customFormat="false" ht="15" hidden="false" customHeight="true" outlineLevel="0" collapsed="false">
      <c r="C50" s="13" t="str">
        <f aca="false">IF($B50="","",IFERROR(VLOOKUP($B50,設定_教師角色!$A$2:$B$7,2,0),0))</f>
        <v/>
      </c>
      <c r="D50" s="1" t="n">
        <v>0</v>
      </c>
      <c r="E50" s="13" t="str">
        <f aca="false">IF($A50="","",IF($C50="","",$C50-$D50))</f>
        <v/>
      </c>
    </row>
    <row r="51" customFormat="false" ht="15" hidden="false" customHeight="true" outlineLevel="0" collapsed="false">
      <c r="C51" s="13" t="str">
        <f aca="false">IF($B51="","",IFERROR(VLOOKUP($B51,設定_教師角色!$A$2:$B$7,2,0),0))</f>
        <v/>
      </c>
      <c r="D51" s="1" t="n">
        <v>0</v>
      </c>
      <c r="E51" s="13" t="str">
        <f aca="false">IF($A51="","",IF($C51="","",$C51-$D51))</f>
        <v/>
      </c>
    </row>
    <row r="52" customFormat="false" ht="15" hidden="false" customHeight="true" outlineLevel="0" collapsed="false">
      <c r="C52" s="13" t="str">
        <f aca="false">IF($B52="","",IFERROR(VLOOKUP($B52,設定_教師角色!$A$2:$B$7,2,0),0))</f>
        <v/>
      </c>
      <c r="D52" s="1" t="n">
        <v>0</v>
      </c>
      <c r="E52" s="13" t="str">
        <f aca="false">IF($A52="","",IF($C52="","",$C52-$D52))</f>
        <v/>
      </c>
    </row>
    <row r="53" customFormat="false" ht="15" hidden="false" customHeight="true" outlineLevel="0" collapsed="false">
      <c r="C53" s="13" t="str">
        <f aca="false">IF($B53="","",IFERROR(VLOOKUP($B53,設定_教師角色!$A$2:$B$7,2,0),0))</f>
        <v/>
      </c>
      <c r="D53" s="1" t="n">
        <v>0</v>
      </c>
      <c r="E53" s="13" t="str">
        <f aca="false">IF($A53="","",IF($C53="","",$C53-$D53))</f>
        <v/>
      </c>
    </row>
    <row r="54" customFormat="false" ht="15" hidden="false" customHeight="true" outlineLevel="0" collapsed="false">
      <c r="C54" s="13" t="str">
        <f aca="false">IF($B54="","",IFERROR(VLOOKUP($B54,設定_教師角色!$A$2:$B$7,2,0),0))</f>
        <v/>
      </c>
      <c r="D54" s="1" t="n">
        <v>0</v>
      </c>
      <c r="E54" s="13" t="str">
        <f aca="false">IF($A54="","",IF($C54="","",$C54-$D54))</f>
        <v/>
      </c>
    </row>
    <row r="55" customFormat="false" ht="15" hidden="false" customHeight="true" outlineLevel="0" collapsed="false">
      <c r="C55" s="13" t="str">
        <f aca="false">IF($B55="","",IFERROR(VLOOKUP($B55,設定_教師角色!$A$2:$B$7,2,0),0))</f>
        <v/>
      </c>
      <c r="D55" s="1" t="n">
        <v>0</v>
      </c>
      <c r="E55" s="13" t="str">
        <f aca="false">IF($A55="","",IF($C55="","",$C55-$D55))</f>
        <v/>
      </c>
    </row>
    <row r="56" customFormat="false" ht="15" hidden="false" customHeight="true" outlineLevel="0" collapsed="false">
      <c r="C56" s="13" t="str">
        <f aca="false">IF($B56="","",IFERROR(VLOOKUP($B56,設定_教師角色!$A$2:$B$7,2,0),0))</f>
        <v/>
      </c>
      <c r="D56" s="1" t="n">
        <v>0</v>
      </c>
      <c r="E56" s="13" t="str">
        <f aca="false">IF($A56="","",IF($C56="","",$C56-$D56))</f>
        <v/>
      </c>
    </row>
    <row r="57" customFormat="false" ht="15" hidden="false" customHeight="true" outlineLevel="0" collapsed="false">
      <c r="C57" s="13" t="str">
        <f aca="false">IF($B57="","",IFERROR(VLOOKUP($B57,設定_教師角色!$A$2:$B$7,2,0),0))</f>
        <v/>
      </c>
      <c r="D57" s="1" t="n">
        <v>0</v>
      </c>
      <c r="E57" s="13" t="str">
        <f aca="false">IF($A57="","",IF($C57="","",$C57-$D57))</f>
        <v/>
      </c>
    </row>
    <row r="58" customFormat="false" ht="15" hidden="false" customHeight="true" outlineLevel="0" collapsed="false">
      <c r="C58" s="13" t="str">
        <f aca="false">IF($B58="","",IFERROR(VLOOKUP($B58,設定_教師角色!$A$2:$B$7,2,0),0))</f>
        <v/>
      </c>
      <c r="D58" s="1" t="n">
        <v>0</v>
      </c>
      <c r="E58" s="13" t="str">
        <f aca="false">IF($A58="","",IF($C58="","",$C58-$D58))</f>
        <v/>
      </c>
    </row>
    <row r="59" customFormat="false" ht="15" hidden="false" customHeight="true" outlineLevel="0" collapsed="false">
      <c r="C59" s="13" t="str">
        <f aca="false">IF($B59="","",IFERROR(VLOOKUP($B59,設定_教師角色!$A$2:$B$7,2,0),0))</f>
        <v/>
      </c>
      <c r="D59" s="1" t="n">
        <v>0</v>
      </c>
      <c r="E59" s="13" t="str">
        <f aca="false">IF($A59="","",IF($C59="","",$C59-$D59))</f>
        <v/>
      </c>
    </row>
    <row r="60" customFormat="false" ht="15" hidden="false" customHeight="true" outlineLevel="0" collapsed="false">
      <c r="C60" s="13" t="str">
        <f aca="false">IF($B60="","",IFERROR(VLOOKUP($B60,設定_教師角色!$A$2:$B$7,2,0),0))</f>
        <v/>
      </c>
      <c r="D60" s="1" t="n">
        <v>0</v>
      </c>
      <c r="E60" s="13" t="str">
        <f aca="false">IF($A60="","",IF($C60="","",$C60-$D60))</f>
        <v/>
      </c>
    </row>
    <row r="61" customFormat="false" ht="15" hidden="false" customHeight="true" outlineLevel="0" collapsed="false">
      <c r="C61" s="13" t="str">
        <f aca="false">IF($B61="","",IFERROR(VLOOKUP($B61,設定_教師角色!$A$2:$B$7,2,0),0))</f>
        <v/>
      </c>
      <c r="D61" s="1" t="n">
        <v>0</v>
      </c>
      <c r="E61" s="13" t="str">
        <f aca="false">IF($A61="","",IF($C61="","",$C61-$D61))</f>
        <v/>
      </c>
    </row>
  </sheetData>
  <dataValidations count="1">
    <dataValidation allowBlank="true" errorStyle="stop" operator="between" showDropDown="false" showErrorMessage="false" showInputMessage="false" sqref="B2:B61" type="list">
      <formula1>"導師,科任,組長,主任,鐘點教師,其他"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8"/>
    <col collapsed="false" customWidth="true" hidden="false" outlineLevel="0" max="4" min="4" style="1" width="10"/>
    <col collapsed="false" customWidth="true" hidden="false" outlineLevel="0" max="5" min="5" style="1" width="46"/>
  </cols>
  <sheetData>
    <row r="1" customFormat="false" ht="15" hidden="false" customHeight="true" outlineLevel="0" collapsed="false">
      <c r="A1" s="9" t="s">
        <v>352</v>
      </c>
      <c r="B1" s="9" t="s">
        <v>353</v>
      </c>
      <c r="C1" s="9" t="s">
        <v>235</v>
      </c>
      <c r="D1" s="9" t="s">
        <v>354</v>
      </c>
      <c r="E1" s="9" t="s">
        <v>355</v>
      </c>
    </row>
    <row r="2" customFormat="false" ht="15" hidden="false" customHeight="true" outlineLevel="0" collapsed="false">
      <c r="A2" s="21" t="s">
        <v>347</v>
      </c>
      <c r="B2" s="21" t="s">
        <v>356</v>
      </c>
      <c r="C2" s="20" t="n">
        <v>7</v>
      </c>
      <c r="D2" s="21" t="s">
        <v>357</v>
      </c>
      <c r="E2" s="17" t="s">
        <v>358</v>
      </c>
    </row>
    <row r="3" customFormat="false" ht="15" hidden="false" customHeight="true" outlineLevel="0" collapsed="false">
      <c r="A3" s="20" t="s">
        <v>359</v>
      </c>
      <c r="B3" s="25" t="s">
        <v>151</v>
      </c>
      <c r="C3" s="20" t="n">
        <v>7</v>
      </c>
      <c r="D3" s="25" t="s">
        <v>357</v>
      </c>
      <c r="E3" s="26" t="s">
        <v>360</v>
      </c>
    </row>
    <row r="4" customFormat="false" ht="15" hidden="false" customHeight="true" outlineLevel="0" collapsed="false">
      <c r="A4" s="10"/>
      <c r="B4" s="10"/>
      <c r="C4" s="11"/>
      <c r="D4" s="10"/>
      <c r="E4" s="16"/>
    </row>
    <row r="5" customFormat="false" ht="15" hidden="false" customHeight="true" outlineLevel="0" collapsed="false">
      <c r="A5" s="10"/>
      <c r="B5" s="10"/>
      <c r="C5" s="11"/>
      <c r="D5" s="10"/>
      <c r="E5" s="16"/>
    </row>
    <row r="6" customFormat="false" ht="15" hidden="false" customHeight="true" outlineLevel="0" collapsed="false">
      <c r="A6" s="10"/>
      <c r="B6" s="10"/>
      <c r="C6" s="11"/>
      <c r="D6" s="10"/>
      <c r="E6" s="16"/>
    </row>
    <row r="7" customFormat="false" ht="15" hidden="false" customHeight="true" outlineLevel="0" collapsed="false">
      <c r="A7" s="10"/>
      <c r="B7" s="10"/>
      <c r="C7" s="11"/>
      <c r="D7" s="10"/>
      <c r="E7" s="16"/>
    </row>
    <row r="8" customFormat="false" ht="15" hidden="false" customHeight="true" outlineLevel="0" collapsed="false">
      <c r="A8" s="10"/>
      <c r="B8" s="10"/>
      <c r="C8" s="11"/>
      <c r="D8" s="10"/>
      <c r="E8" s="16"/>
    </row>
    <row r="9" customFormat="false" ht="15" hidden="false" customHeight="true" outlineLevel="0" collapsed="false">
      <c r="A9" s="10"/>
      <c r="B9" s="10"/>
      <c r="C9" s="11"/>
      <c r="D9" s="10"/>
      <c r="E9" s="16"/>
    </row>
    <row r="10" customFormat="false" ht="15" hidden="false" customHeight="true" outlineLevel="0" collapsed="false">
      <c r="A10" s="10"/>
      <c r="B10" s="10"/>
      <c r="C10" s="11"/>
      <c r="D10" s="10"/>
      <c r="E10" s="16"/>
    </row>
    <row r="11" customFormat="false" ht="15" hidden="false" customHeight="true" outlineLevel="0" collapsed="false">
      <c r="A11" s="10"/>
      <c r="B11" s="10"/>
      <c r="C11" s="11"/>
      <c r="D11" s="10"/>
      <c r="E11" s="16"/>
    </row>
    <row r="12" customFormat="false" ht="15" hidden="false" customHeight="true" outlineLevel="0" collapsed="false">
      <c r="A12" s="10"/>
      <c r="B12" s="10"/>
      <c r="C12" s="11"/>
      <c r="D12" s="10"/>
      <c r="E12" s="16"/>
    </row>
    <row r="13" customFormat="false" ht="15" hidden="false" customHeight="true" outlineLevel="0" collapsed="false">
      <c r="A13" s="10"/>
      <c r="B13" s="10"/>
      <c r="C13" s="11"/>
      <c r="D13" s="10"/>
      <c r="E13" s="16"/>
    </row>
    <row r="14" customFormat="false" ht="15" hidden="false" customHeight="true" outlineLevel="0" collapsed="false">
      <c r="A14" s="10"/>
      <c r="B14" s="10"/>
      <c r="C14" s="11"/>
      <c r="D14" s="10"/>
      <c r="E14" s="16"/>
    </row>
    <row r="15" customFormat="false" ht="15" hidden="false" customHeight="true" outlineLevel="0" collapsed="false">
      <c r="A15" s="10"/>
      <c r="B15" s="10"/>
      <c r="C15" s="11"/>
      <c r="D15" s="10"/>
      <c r="E15" s="16"/>
    </row>
    <row r="17" customFormat="false" ht="15" hidden="false" customHeight="false" outlineLevel="0" collapsed="false">
      <c r="B17" s="27" t="s">
        <v>361</v>
      </c>
    </row>
  </sheetData>
  <dataValidations count="4">
    <dataValidation allowBlank="true" errorStyle="stop" operator="between" showDropDown="false" showErrorMessage="false" showInputMessage="false" sqref="B2:B41" type="list">
      <formula1>"一,二,三,四,五,每日"</formula1>
      <formula2>0</formula2>
    </dataValidation>
    <dataValidation allowBlank="true" errorStyle="stop" operator="between" showDropDown="false" showErrorMessage="false" showInputMessage="false" sqref="C2:C41" type="list">
      <formula1>"1,2,3,4,5,6,7,全部"</formula1>
      <formula2>0</formula2>
    </dataValidation>
    <dataValidation allowBlank="true" errorStyle="stop" operator="between" showDropDown="false" showErrorMessage="false" showInputMessage="false" sqref="D2:D41" type="list">
      <formula1>"不可排,避免"</formula1>
      <formula2>0</formula2>
    </dataValidation>
    <dataValidation allowBlank="true" errorStyle="stop" operator="between" showDropDown="false" showErrorMessage="false" showInputMessage="false" sqref="A2:A41" type="list">
      <formula1>教師名冊!$A$2:$A$61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40"/>
  </cols>
  <sheetData>
    <row r="1" customFormat="false" ht="15" hidden="false" customHeight="true" outlineLevel="0" collapsed="false">
      <c r="A1" s="9" t="s">
        <v>362</v>
      </c>
      <c r="B1" s="9" t="s">
        <v>68</v>
      </c>
      <c r="C1" s="9" t="s">
        <v>363</v>
      </c>
      <c r="D1" s="9" t="s">
        <v>364</v>
      </c>
      <c r="E1" s="9" t="s">
        <v>111</v>
      </c>
    </row>
    <row r="2" customFormat="false" ht="15" hidden="false" customHeight="true" outlineLevel="0" collapsed="false">
      <c r="A2" s="20" t="s">
        <v>365</v>
      </c>
      <c r="B2" s="21" t="n">
        <v>1</v>
      </c>
      <c r="C2" s="21" t="s">
        <v>343</v>
      </c>
      <c r="D2" s="21" t="s">
        <v>366</v>
      </c>
      <c r="E2" s="17" t="s">
        <v>367</v>
      </c>
    </row>
    <row r="3" customFormat="false" ht="15" hidden="false" customHeight="true" outlineLevel="0" collapsed="false">
      <c r="A3" s="10"/>
      <c r="B3" s="10"/>
      <c r="C3" s="10"/>
      <c r="D3" s="11"/>
      <c r="E3" s="16"/>
    </row>
    <row r="4" customFormat="false" ht="15" hidden="false" customHeight="true" outlineLevel="0" collapsed="false">
      <c r="A4" s="10"/>
      <c r="B4" s="10"/>
      <c r="C4" s="10"/>
      <c r="D4" s="11"/>
      <c r="E4" s="16"/>
    </row>
    <row r="5" customFormat="false" ht="15" hidden="false" customHeight="true" outlineLevel="0" collapsed="false">
      <c r="A5" s="10"/>
      <c r="B5" s="10"/>
      <c r="C5" s="10"/>
      <c r="D5" s="11"/>
      <c r="E5" s="16"/>
    </row>
    <row r="6" customFormat="false" ht="15" hidden="false" customHeight="true" outlineLevel="0" collapsed="false">
      <c r="A6" s="10"/>
      <c r="B6" s="10"/>
      <c r="C6" s="10"/>
      <c r="D6" s="11"/>
      <c r="E6" s="16"/>
    </row>
    <row r="7" customFormat="false" ht="15" hidden="false" customHeight="true" outlineLevel="0" collapsed="false">
      <c r="A7" s="10"/>
      <c r="B7" s="10"/>
      <c r="C7" s="10"/>
      <c r="D7" s="11"/>
      <c r="E7" s="16"/>
    </row>
    <row r="8" customFormat="false" ht="15" hidden="false" customHeight="true" outlineLevel="0" collapsed="false">
      <c r="A8" s="10"/>
      <c r="B8" s="10"/>
      <c r="C8" s="10"/>
      <c r="D8" s="11"/>
      <c r="E8" s="16"/>
    </row>
    <row r="9" customFormat="false" ht="15" hidden="false" customHeight="true" outlineLevel="0" collapsed="false">
      <c r="A9" s="10"/>
      <c r="B9" s="10"/>
      <c r="C9" s="10"/>
      <c r="D9" s="11"/>
      <c r="E9" s="16"/>
    </row>
    <row r="10" customFormat="false" ht="15" hidden="false" customHeight="true" outlineLevel="0" collapsed="false">
      <c r="A10" s="10"/>
      <c r="B10" s="10"/>
      <c r="C10" s="10"/>
      <c r="D10" s="11"/>
      <c r="E10" s="16"/>
    </row>
    <row r="11" customFormat="false" ht="15" hidden="false" customHeight="true" outlineLevel="0" collapsed="false">
      <c r="A11" s="10"/>
      <c r="B11" s="10"/>
      <c r="C11" s="10"/>
      <c r="D11" s="11"/>
      <c r="E11" s="16"/>
    </row>
    <row r="12" customFormat="false" ht="15" hidden="false" customHeight="true" outlineLevel="0" collapsed="false">
      <c r="A12" s="10"/>
      <c r="B12" s="10"/>
      <c r="C12" s="10"/>
      <c r="D12" s="11"/>
      <c r="E12" s="16"/>
    </row>
    <row r="13" customFormat="false" ht="15" hidden="false" customHeight="true" outlineLevel="0" collapsed="false">
      <c r="A13" s="10"/>
      <c r="B13" s="10"/>
      <c r="C13" s="10"/>
      <c r="D13" s="11"/>
      <c r="E13" s="16"/>
    </row>
    <row r="14" customFormat="false" ht="15" hidden="false" customHeight="true" outlineLevel="0" collapsed="false">
      <c r="A14" s="10"/>
      <c r="B14" s="10"/>
      <c r="C14" s="10"/>
      <c r="D14" s="11"/>
      <c r="E14" s="16"/>
    </row>
    <row r="15" customFormat="false" ht="15" hidden="false" customHeight="true" outlineLevel="0" collapsed="false">
      <c r="A15" s="10"/>
      <c r="B15" s="10"/>
      <c r="C15" s="10"/>
      <c r="D15" s="11"/>
      <c r="E15" s="16"/>
    </row>
    <row r="16" customFormat="false" ht="15" hidden="false" customHeight="true" outlineLevel="0" collapsed="false">
      <c r="A16" s="10"/>
      <c r="B16" s="10"/>
      <c r="C16" s="10"/>
      <c r="D16" s="11"/>
      <c r="E16" s="16"/>
    </row>
    <row r="17" customFormat="false" ht="15" hidden="false" customHeight="true" outlineLevel="0" collapsed="false">
      <c r="A17" s="10"/>
      <c r="B17" s="10"/>
      <c r="C17" s="10"/>
      <c r="D17" s="11"/>
      <c r="E17" s="16"/>
    </row>
  </sheetData>
  <dataValidations count="2">
    <dataValidation allowBlank="true" errorStyle="stop" operator="between" showDropDown="false" showErrorMessage="false" showInputMessage="false" sqref="C2:C41" type="list">
      <formula1>教師名冊!$A$2:$A$61</formula1>
      <formula2>0</formula2>
    </dataValidation>
    <dataValidation allowBlank="true" errorStyle="stop" operator="between" showDropDown="false" showErrorMessage="false" showInputMessage="false" sqref="D2:D41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23" min="4" style="1" width="7"/>
    <col collapsed="false" customWidth="true" hidden="false" outlineLevel="0" max="24" min="24" style="1" width="9"/>
  </cols>
  <sheetData>
    <row r="1" customFormat="false" ht="43.5" hidden="false" customHeight="true" outlineLevel="0" collapsed="false">
      <c r="A1" s="9" t="s">
        <v>362</v>
      </c>
      <c r="B1" s="9" t="s">
        <v>68</v>
      </c>
      <c r="C1" s="9" t="s">
        <v>164</v>
      </c>
      <c r="D1" s="9" t="s">
        <v>161</v>
      </c>
      <c r="E1" s="9" t="s">
        <v>166</v>
      </c>
      <c r="F1" s="9" t="s">
        <v>172</v>
      </c>
      <c r="G1" s="9" t="s">
        <v>175</v>
      </c>
      <c r="H1" s="9" t="s">
        <v>179</v>
      </c>
      <c r="I1" s="9" t="s">
        <v>183</v>
      </c>
      <c r="J1" s="9" t="s">
        <v>186</v>
      </c>
      <c r="K1" s="9" t="s">
        <v>192</v>
      </c>
      <c r="L1" s="9" t="s">
        <v>197</v>
      </c>
      <c r="M1" s="9" t="s">
        <v>201</v>
      </c>
      <c r="N1" s="9" t="s">
        <v>204</v>
      </c>
      <c r="O1" s="9" t="s">
        <v>208</v>
      </c>
      <c r="P1" s="9" t="s">
        <v>212</v>
      </c>
      <c r="Q1" s="9" t="s">
        <v>218</v>
      </c>
      <c r="R1" s="9" t="s">
        <v>221</v>
      </c>
      <c r="S1" s="9" t="s">
        <v>224</v>
      </c>
      <c r="T1" s="9" t="s">
        <v>227</v>
      </c>
      <c r="U1" s="9" t="s">
        <v>230</v>
      </c>
      <c r="V1" s="9" t="s">
        <v>104</v>
      </c>
      <c r="W1" s="9" t="s">
        <v>105</v>
      </c>
      <c r="X1" s="9" t="s">
        <v>106</v>
      </c>
      <c r="Y1" s="9" t="s">
        <v>368</v>
      </c>
    </row>
    <row r="2" customFormat="false" ht="15" hidden="false" customHeight="true" outlineLevel="0" collapsed="false">
      <c r="A2" s="13" t="str">
        <f aca="false">IF(班級基本資料!A2="","",班級基本資料!A2)</f>
        <v>1甲</v>
      </c>
      <c r="B2" s="13" t="n">
        <f aca="false">IF(班級基本資料!A2="","",班級基本資料!B2)</f>
        <v>1</v>
      </c>
      <c r="C2" s="13" t="str">
        <f aca="false">IF(班級基本資料!A2="","",班級基本資料!C2)</f>
        <v>王導師</v>
      </c>
      <c r="D2" s="13" t="n">
        <f aca="false">IF($A2="",0,INDEX(設定_科目表!$F$2:$K$19,MATCH(D$1,設定_科目表!$B$2:$B$19,0),$B2))</f>
        <v>6</v>
      </c>
      <c r="E2" s="13" t="n">
        <f aca="false">IF($A2="",0,INDEX(設定_科目表!$F$2:$K$19,MATCH(E$1,設定_科目表!$B$2:$B$19,0),$B2))</f>
        <v>1</v>
      </c>
      <c r="F2" s="13" t="n">
        <f aca="false">IF($A2="",0,INDEX(設定_科目表!$F$2:$K$19,MATCH(F$1,設定_科目表!$B$2:$B$19,0),$B2))</f>
        <v>0</v>
      </c>
      <c r="G2" s="13" t="n">
        <f aca="false">IF($A2="",0,INDEX(設定_科目表!$F$2:$K$19,MATCH(G$1,設定_科目表!$B$2:$B$19,0),$B2))</f>
        <v>4</v>
      </c>
      <c r="H2" s="13" t="n">
        <f aca="false">IF($A2="",0,INDEX(設定_科目表!$F$2:$K$19,MATCH(H$1,設定_科目表!$B$2:$B$19,0),$B2))</f>
        <v>5</v>
      </c>
      <c r="I2" s="13" t="n">
        <f aca="false">IF($A2="",0,INDEX(設定_科目表!$F$2:$K$19,MATCH(I$1,設定_科目表!$B$2:$B$19,0),$B2))</f>
        <v>0</v>
      </c>
      <c r="J2" s="13" t="n">
        <f aca="false">IF($A2="",0,INDEX(設定_科目表!$F$2:$K$19,MATCH(J$1,設定_科目表!$B$2:$B$19,0),$B2))</f>
        <v>0</v>
      </c>
      <c r="K2" s="13" t="n">
        <f aca="false">IF($A2="",0,INDEX(設定_科目表!$F$2:$K$19,MATCH(K$1,設定_科目表!$B$2:$B$19,0),$B2))</f>
        <v>1</v>
      </c>
      <c r="L2" s="13" t="n">
        <f aca="false">IF($A2="",0,INDEX(設定_科目表!$F$2:$K$19,MATCH(L$1,設定_科目表!$B$2:$B$19,0),$B2))</f>
        <v>0</v>
      </c>
      <c r="M2" s="13" t="n">
        <f aca="false">IF($A2="",0,INDEX(設定_科目表!$F$2:$K$19,MATCH(M$1,設定_科目表!$B$2:$B$19,0),$B2))</f>
        <v>0</v>
      </c>
      <c r="N2" s="13" t="n">
        <f aca="false">IF($A2="",0,INDEX(設定_科目表!$F$2:$K$19,MATCH(N$1,設定_科目表!$B$2:$B$19,0),$B2))</f>
        <v>1</v>
      </c>
      <c r="O2" s="13" t="n">
        <f aca="false">IF($A2="",0,INDEX(設定_科目表!$F$2:$K$19,MATCH(O$1,設定_科目表!$B$2:$B$19,0),$B2))</f>
        <v>2</v>
      </c>
      <c r="P2" s="13" t="n">
        <f aca="false">IF($A2="",0,INDEX(設定_科目表!$F$2:$K$19,MATCH(P$1,設定_科目表!$B$2:$B$19,0),$B2))</f>
        <v>1</v>
      </c>
      <c r="Q2" s="13" t="n">
        <f aca="false">IF($A2="",0,INDEX(設定_科目表!$F$2:$K$19,MATCH(Q$1,設定_科目表!$B$2:$B$19,0),$B2))</f>
        <v>1</v>
      </c>
      <c r="R2" s="13" t="n">
        <f aca="false">IF($A2="",0,INDEX(設定_科目表!$F$2:$K$19,MATCH(R$1,設定_科目表!$B$2:$B$19,0),$B2))</f>
        <v>0</v>
      </c>
      <c r="S2" s="13" t="n">
        <f aca="false">IF($A2="",0,INDEX(設定_科目表!$F$2:$K$19,MATCH(S$1,設定_科目表!$B$2:$B$19,0),$B2))</f>
        <v>0</v>
      </c>
      <c r="T2" s="13" t="n">
        <f aca="false">IF($A2="",0,INDEX(設定_科目表!$F$2:$K$19,MATCH(T$1,設定_科目表!$B$2:$B$19,0),$B2))</f>
        <v>0</v>
      </c>
      <c r="U2" s="13" t="n">
        <f aca="false">IF($A2="",0,INDEX(設定_科目表!$F$2:$K$19,MATCH(U$1,設定_科目表!$B$2:$B$19,0),$B2))</f>
        <v>1</v>
      </c>
      <c r="V2" s="13" t="n">
        <f aca="false">SUM(D2:U2)</f>
        <v>23</v>
      </c>
      <c r="W2" s="13" t="n">
        <f aca="false">IF($A2="","",VLOOKUP($B2,設定_年段時段!$A$2:$AL$7,38,0))</f>
        <v>23</v>
      </c>
      <c r="X2" s="13" t="str">
        <f aca="false">IF($A2="","",IF($V2=$W2,"✓","⚠不符"))</f>
        <v>✓</v>
      </c>
    </row>
    <row r="3" customFormat="false" ht="15" hidden="false" customHeight="true" outlineLevel="0" collapsed="false">
      <c r="A3" s="13" t="str">
        <f aca="false">IF(班級基本資料!A3="","",班級基本資料!A3)</f>
        <v/>
      </c>
      <c r="B3" s="13" t="str">
        <f aca="false">IF(班級基本資料!A3="","",班級基本資料!B3)</f>
        <v/>
      </c>
      <c r="C3" s="13" t="str">
        <f aca="false">IF(班級基本資料!A3="","",班級基本資料!C3)</f>
        <v/>
      </c>
      <c r="D3" s="13" t="n">
        <f aca="false">IF($A3="",0,INDEX(設定_科目表!$F$2:$K$19,MATCH(D$1,設定_科目表!$B$2:$B$19,0),$B3))</f>
        <v>0</v>
      </c>
      <c r="E3" s="13" t="n">
        <f aca="false">IF($A3="",0,INDEX(設定_科目表!$F$2:$K$19,MATCH(E$1,設定_科目表!$B$2:$B$19,0),$B3))</f>
        <v>0</v>
      </c>
      <c r="F3" s="13" t="n">
        <f aca="false">IF($A3="",0,INDEX(設定_科目表!$F$2:$K$19,MATCH(F$1,設定_科目表!$B$2:$B$19,0),$B3))</f>
        <v>0</v>
      </c>
      <c r="G3" s="13" t="n">
        <f aca="false">IF($A3="",0,INDEX(設定_科目表!$F$2:$K$19,MATCH(G$1,設定_科目表!$B$2:$B$19,0),$B3))</f>
        <v>0</v>
      </c>
      <c r="H3" s="13" t="n">
        <f aca="false">IF($A3="",0,INDEX(設定_科目表!$F$2:$K$19,MATCH(H$1,設定_科目表!$B$2:$B$19,0),$B3))</f>
        <v>0</v>
      </c>
      <c r="I3" s="13" t="n">
        <f aca="false">IF($A3="",0,INDEX(設定_科目表!$F$2:$K$19,MATCH(I$1,設定_科目表!$B$2:$B$19,0),$B3))</f>
        <v>0</v>
      </c>
      <c r="J3" s="13" t="n">
        <f aca="false">IF($A3="",0,INDEX(設定_科目表!$F$2:$K$19,MATCH(J$1,設定_科目表!$B$2:$B$19,0),$B3))</f>
        <v>0</v>
      </c>
      <c r="K3" s="13" t="n">
        <f aca="false">IF($A3="",0,INDEX(設定_科目表!$F$2:$K$19,MATCH(K$1,設定_科目表!$B$2:$B$19,0),$B3))</f>
        <v>0</v>
      </c>
      <c r="L3" s="13" t="n">
        <f aca="false">IF($A3="",0,INDEX(設定_科目表!$F$2:$K$19,MATCH(L$1,設定_科目表!$B$2:$B$19,0),$B3))</f>
        <v>0</v>
      </c>
      <c r="M3" s="13" t="n">
        <f aca="false">IF($A3="",0,INDEX(設定_科目表!$F$2:$K$19,MATCH(M$1,設定_科目表!$B$2:$B$19,0),$B3))</f>
        <v>0</v>
      </c>
      <c r="N3" s="13" t="n">
        <f aca="false">IF($A3="",0,INDEX(設定_科目表!$F$2:$K$19,MATCH(N$1,設定_科目表!$B$2:$B$19,0),$B3))</f>
        <v>0</v>
      </c>
      <c r="O3" s="13" t="n">
        <f aca="false">IF($A3="",0,INDEX(設定_科目表!$F$2:$K$19,MATCH(O$1,設定_科目表!$B$2:$B$19,0),$B3))</f>
        <v>0</v>
      </c>
      <c r="P3" s="13" t="n">
        <f aca="false">IF($A3="",0,INDEX(設定_科目表!$F$2:$K$19,MATCH(P$1,設定_科目表!$B$2:$B$19,0),$B3))</f>
        <v>0</v>
      </c>
      <c r="Q3" s="13" t="n">
        <f aca="false">IF($A3="",0,INDEX(設定_科目表!$F$2:$K$19,MATCH(Q$1,設定_科目表!$B$2:$B$19,0),$B3))</f>
        <v>0</v>
      </c>
      <c r="R3" s="13" t="n">
        <f aca="false">IF($A3="",0,INDEX(設定_科目表!$F$2:$K$19,MATCH(R$1,設定_科目表!$B$2:$B$19,0),$B3))</f>
        <v>0</v>
      </c>
      <c r="S3" s="13" t="n">
        <f aca="false">IF($A3="",0,INDEX(設定_科目表!$F$2:$K$19,MATCH(S$1,設定_科目表!$B$2:$B$19,0),$B3))</f>
        <v>0</v>
      </c>
      <c r="T3" s="13" t="n">
        <f aca="false">IF($A3="",0,INDEX(設定_科目表!$F$2:$K$19,MATCH(T$1,設定_科目表!$B$2:$B$19,0),$B3))</f>
        <v>0</v>
      </c>
      <c r="U3" s="13" t="n">
        <f aca="false">IF($A3="",0,INDEX(設定_科目表!$F$2:$K$19,MATCH(U$1,設定_科目表!$B$2:$B$19,0),$B3))</f>
        <v>0</v>
      </c>
      <c r="V3" s="13" t="n">
        <f aca="false">SUM(D3:U3)</f>
        <v>0</v>
      </c>
      <c r="W3" s="13" t="str">
        <f aca="false">IF($A3="","",VLOOKUP($B3,設定_年段時段!$A$2:$AL$7,38,0))</f>
        <v/>
      </c>
      <c r="X3" s="13" t="str">
        <f aca="false">IF($A3="","",IF($V3=$W3,"✓","⚠不符"))</f>
        <v/>
      </c>
    </row>
    <row r="4" customFormat="false" ht="15" hidden="false" customHeight="true" outlineLevel="0" collapsed="false">
      <c r="A4" s="13" t="str">
        <f aca="false">IF(班級基本資料!A4="","",班級基本資料!A4)</f>
        <v/>
      </c>
      <c r="B4" s="13" t="str">
        <f aca="false">IF(班級基本資料!A4="","",班級基本資料!B4)</f>
        <v/>
      </c>
      <c r="C4" s="13" t="str">
        <f aca="false">IF(班級基本資料!A4="","",班級基本資料!C4)</f>
        <v/>
      </c>
      <c r="D4" s="13" t="n">
        <f aca="false">IF($A4="",0,INDEX(設定_科目表!$F$2:$K$19,MATCH(D$1,設定_科目表!$B$2:$B$19,0),$B4))</f>
        <v>0</v>
      </c>
      <c r="E4" s="13" t="n">
        <f aca="false">IF($A4="",0,INDEX(設定_科目表!$F$2:$K$19,MATCH(E$1,設定_科目表!$B$2:$B$19,0),$B4))</f>
        <v>0</v>
      </c>
      <c r="F4" s="13" t="n">
        <f aca="false">IF($A4="",0,INDEX(設定_科目表!$F$2:$K$19,MATCH(F$1,設定_科目表!$B$2:$B$19,0),$B4))</f>
        <v>0</v>
      </c>
      <c r="G4" s="13" t="n">
        <f aca="false">IF($A4="",0,INDEX(設定_科目表!$F$2:$K$19,MATCH(G$1,設定_科目表!$B$2:$B$19,0),$B4))</f>
        <v>0</v>
      </c>
      <c r="H4" s="13" t="n">
        <f aca="false">IF($A4="",0,INDEX(設定_科目表!$F$2:$K$19,MATCH(H$1,設定_科目表!$B$2:$B$19,0),$B4))</f>
        <v>0</v>
      </c>
      <c r="I4" s="13" t="n">
        <f aca="false">IF($A4="",0,INDEX(設定_科目表!$F$2:$K$19,MATCH(I$1,設定_科目表!$B$2:$B$19,0),$B4))</f>
        <v>0</v>
      </c>
      <c r="J4" s="13" t="n">
        <f aca="false">IF($A4="",0,INDEX(設定_科目表!$F$2:$K$19,MATCH(J$1,設定_科目表!$B$2:$B$19,0),$B4))</f>
        <v>0</v>
      </c>
      <c r="K4" s="13" t="n">
        <f aca="false">IF($A4="",0,INDEX(設定_科目表!$F$2:$K$19,MATCH(K$1,設定_科目表!$B$2:$B$19,0),$B4))</f>
        <v>0</v>
      </c>
      <c r="L4" s="13" t="n">
        <f aca="false">IF($A4="",0,INDEX(設定_科目表!$F$2:$K$19,MATCH(L$1,設定_科目表!$B$2:$B$19,0),$B4))</f>
        <v>0</v>
      </c>
      <c r="M4" s="13" t="n">
        <f aca="false">IF($A4="",0,INDEX(設定_科目表!$F$2:$K$19,MATCH(M$1,設定_科目表!$B$2:$B$19,0),$B4))</f>
        <v>0</v>
      </c>
      <c r="N4" s="13" t="n">
        <f aca="false">IF($A4="",0,INDEX(設定_科目表!$F$2:$K$19,MATCH(N$1,設定_科目表!$B$2:$B$19,0),$B4))</f>
        <v>0</v>
      </c>
      <c r="O4" s="13" t="n">
        <f aca="false">IF($A4="",0,INDEX(設定_科目表!$F$2:$K$19,MATCH(O$1,設定_科目表!$B$2:$B$19,0),$B4))</f>
        <v>0</v>
      </c>
      <c r="P4" s="13" t="n">
        <f aca="false">IF($A4="",0,INDEX(設定_科目表!$F$2:$K$19,MATCH(P$1,設定_科目表!$B$2:$B$19,0),$B4))</f>
        <v>0</v>
      </c>
      <c r="Q4" s="13" t="n">
        <f aca="false">IF($A4="",0,INDEX(設定_科目表!$F$2:$K$19,MATCH(Q$1,設定_科目表!$B$2:$B$19,0),$B4))</f>
        <v>0</v>
      </c>
      <c r="R4" s="13" t="n">
        <f aca="false">IF($A4="",0,INDEX(設定_科目表!$F$2:$K$19,MATCH(R$1,設定_科目表!$B$2:$B$19,0),$B4))</f>
        <v>0</v>
      </c>
      <c r="S4" s="13" t="n">
        <f aca="false">IF($A4="",0,INDEX(設定_科目表!$F$2:$K$19,MATCH(S$1,設定_科目表!$B$2:$B$19,0),$B4))</f>
        <v>0</v>
      </c>
      <c r="T4" s="13" t="n">
        <f aca="false">IF($A4="",0,INDEX(設定_科目表!$F$2:$K$19,MATCH(T$1,設定_科目表!$B$2:$B$19,0),$B4))</f>
        <v>0</v>
      </c>
      <c r="U4" s="13" t="n">
        <f aca="false">IF($A4="",0,INDEX(設定_科目表!$F$2:$K$19,MATCH(U$1,設定_科目表!$B$2:$B$19,0),$B4))</f>
        <v>0</v>
      </c>
      <c r="V4" s="13" t="n">
        <f aca="false">SUM(D4:U4)</f>
        <v>0</v>
      </c>
      <c r="W4" s="13" t="str">
        <f aca="false">IF($A4="","",VLOOKUP($B4,設定_年段時段!$A$2:$AL$7,38,0))</f>
        <v/>
      </c>
      <c r="X4" s="13" t="str">
        <f aca="false">IF($A4="","",IF($V4=$W4,"✓","⚠不符"))</f>
        <v/>
      </c>
    </row>
    <row r="5" customFormat="false" ht="15" hidden="false" customHeight="true" outlineLevel="0" collapsed="false">
      <c r="A5" s="13" t="str">
        <f aca="false">IF(班級基本資料!A5="","",班級基本資料!A5)</f>
        <v/>
      </c>
      <c r="B5" s="13" t="str">
        <f aca="false">IF(班級基本資料!A5="","",班級基本資料!B5)</f>
        <v/>
      </c>
      <c r="C5" s="13" t="str">
        <f aca="false">IF(班級基本資料!A5="","",班級基本資料!C5)</f>
        <v/>
      </c>
      <c r="D5" s="13" t="n">
        <f aca="false">IF($A5="",0,INDEX(設定_科目表!$F$2:$K$19,MATCH(D$1,設定_科目表!$B$2:$B$19,0),$B5))</f>
        <v>0</v>
      </c>
      <c r="E5" s="13" t="n">
        <f aca="false">IF($A5="",0,INDEX(設定_科目表!$F$2:$K$19,MATCH(E$1,設定_科目表!$B$2:$B$19,0),$B5))</f>
        <v>0</v>
      </c>
      <c r="F5" s="13" t="n">
        <f aca="false">IF($A5="",0,INDEX(設定_科目表!$F$2:$K$19,MATCH(F$1,設定_科目表!$B$2:$B$19,0),$B5))</f>
        <v>0</v>
      </c>
      <c r="G5" s="13" t="n">
        <f aca="false">IF($A5="",0,INDEX(設定_科目表!$F$2:$K$19,MATCH(G$1,設定_科目表!$B$2:$B$19,0),$B5))</f>
        <v>0</v>
      </c>
      <c r="H5" s="13" t="n">
        <f aca="false">IF($A5="",0,INDEX(設定_科目表!$F$2:$K$19,MATCH(H$1,設定_科目表!$B$2:$B$19,0),$B5))</f>
        <v>0</v>
      </c>
      <c r="I5" s="13" t="n">
        <f aca="false">IF($A5="",0,INDEX(設定_科目表!$F$2:$K$19,MATCH(I$1,設定_科目表!$B$2:$B$19,0),$B5))</f>
        <v>0</v>
      </c>
      <c r="J5" s="13" t="n">
        <f aca="false">IF($A5="",0,INDEX(設定_科目表!$F$2:$K$19,MATCH(J$1,設定_科目表!$B$2:$B$19,0),$B5))</f>
        <v>0</v>
      </c>
      <c r="K5" s="13" t="n">
        <f aca="false">IF($A5="",0,INDEX(設定_科目表!$F$2:$K$19,MATCH(K$1,設定_科目表!$B$2:$B$19,0),$B5))</f>
        <v>0</v>
      </c>
      <c r="L5" s="13" t="n">
        <f aca="false">IF($A5="",0,INDEX(設定_科目表!$F$2:$K$19,MATCH(L$1,設定_科目表!$B$2:$B$19,0),$B5))</f>
        <v>0</v>
      </c>
      <c r="M5" s="13" t="n">
        <f aca="false">IF($A5="",0,INDEX(設定_科目表!$F$2:$K$19,MATCH(M$1,設定_科目表!$B$2:$B$19,0),$B5))</f>
        <v>0</v>
      </c>
      <c r="N5" s="13" t="n">
        <f aca="false">IF($A5="",0,INDEX(設定_科目表!$F$2:$K$19,MATCH(N$1,設定_科目表!$B$2:$B$19,0),$B5))</f>
        <v>0</v>
      </c>
      <c r="O5" s="13" t="n">
        <f aca="false">IF($A5="",0,INDEX(設定_科目表!$F$2:$K$19,MATCH(O$1,設定_科目表!$B$2:$B$19,0),$B5))</f>
        <v>0</v>
      </c>
      <c r="P5" s="13" t="n">
        <f aca="false">IF($A5="",0,INDEX(設定_科目表!$F$2:$K$19,MATCH(P$1,設定_科目表!$B$2:$B$19,0),$B5))</f>
        <v>0</v>
      </c>
      <c r="Q5" s="13" t="n">
        <f aca="false">IF($A5="",0,INDEX(設定_科目表!$F$2:$K$19,MATCH(Q$1,設定_科目表!$B$2:$B$19,0),$B5))</f>
        <v>0</v>
      </c>
      <c r="R5" s="13" t="n">
        <f aca="false">IF($A5="",0,INDEX(設定_科目表!$F$2:$K$19,MATCH(R$1,設定_科目表!$B$2:$B$19,0),$B5))</f>
        <v>0</v>
      </c>
      <c r="S5" s="13" t="n">
        <f aca="false">IF($A5="",0,INDEX(設定_科目表!$F$2:$K$19,MATCH(S$1,設定_科目表!$B$2:$B$19,0),$B5))</f>
        <v>0</v>
      </c>
      <c r="T5" s="13" t="n">
        <f aca="false">IF($A5="",0,INDEX(設定_科目表!$F$2:$K$19,MATCH(T$1,設定_科目表!$B$2:$B$19,0),$B5))</f>
        <v>0</v>
      </c>
      <c r="U5" s="13" t="n">
        <f aca="false">IF($A5="",0,INDEX(設定_科目表!$F$2:$K$19,MATCH(U$1,設定_科目表!$B$2:$B$19,0),$B5))</f>
        <v>0</v>
      </c>
      <c r="V5" s="13" t="n">
        <f aca="false">SUM(D5:U5)</f>
        <v>0</v>
      </c>
      <c r="W5" s="13" t="str">
        <f aca="false">IF($A5="","",VLOOKUP($B5,設定_年段時段!$A$2:$AL$7,38,0))</f>
        <v/>
      </c>
      <c r="X5" s="13" t="str">
        <f aca="false">IF($A5="","",IF($V5=$W5,"✓","⚠不符"))</f>
        <v/>
      </c>
    </row>
    <row r="6" customFormat="false" ht="15" hidden="false" customHeight="true" outlineLevel="0" collapsed="false">
      <c r="A6" s="13" t="str">
        <f aca="false">IF(班級基本資料!A6="","",班級基本資料!A6)</f>
        <v/>
      </c>
      <c r="B6" s="13" t="str">
        <f aca="false">IF(班級基本資料!A6="","",班級基本資料!B6)</f>
        <v/>
      </c>
      <c r="C6" s="13" t="str">
        <f aca="false">IF(班級基本資料!A6="","",班級基本資料!C6)</f>
        <v/>
      </c>
      <c r="D6" s="13" t="n">
        <f aca="false">IF($A6="",0,INDEX(設定_科目表!$F$2:$K$19,MATCH(D$1,設定_科目表!$B$2:$B$19,0),$B6))</f>
        <v>0</v>
      </c>
      <c r="E6" s="13" t="n">
        <f aca="false">IF($A6="",0,INDEX(設定_科目表!$F$2:$K$19,MATCH(E$1,設定_科目表!$B$2:$B$19,0),$B6))</f>
        <v>0</v>
      </c>
      <c r="F6" s="13" t="n">
        <f aca="false">IF($A6="",0,INDEX(設定_科目表!$F$2:$K$19,MATCH(F$1,設定_科目表!$B$2:$B$19,0),$B6))</f>
        <v>0</v>
      </c>
      <c r="G6" s="13" t="n">
        <f aca="false">IF($A6="",0,INDEX(設定_科目表!$F$2:$K$19,MATCH(G$1,設定_科目表!$B$2:$B$19,0),$B6))</f>
        <v>0</v>
      </c>
      <c r="H6" s="13" t="n">
        <f aca="false">IF($A6="",0,INDEX(設定_科目表!$F$2:$K$19,MATCH(H$1,設定_科目表!$B$2:$B$19,0),$B6))</f>
        <v>0</v>
      </c>
      <c r="I6" s="13" t="n">
        <f aca="false">IF($A6="",0,INDEX(設定_科目表!$F$2:$K$19,MATCH(I$1,設定_科目表!$B$2:$B$19,0),$B6))</f>
        <v>0</v>
      </c>
      <c r="J6" s="13" t="n">
        <f aca="false">IF($A6="",0,INDEX(設定_科目表!$F$2:$K$19,MATCH(J$1,設定_科目表!$B$2:$B$19,0),$B6))</f>
        <v>0</v>
      </c>
      <c r="K6" s="13" t="n">
        <f aca="false">IF($A6="",0,INDEX(設定_科目表!$F$2:$K$19,MATCH(K$1,設定_科目表!$B$2:$B$19,0),$B6))</f>
        <v>0</v>
      </c>
      <c r="L6" s="13" t="n">
        <f aca="false">IF($A6="",0,INDEX(設定_科目表!$F$2:$K$19,MATCH(L$1,設定_科目表!$B$2:$B$19,0),$B6))</f>
        <v>0</v>
      </c>
      <c r="M6" s="13" t="n">
        <f aca="false">IF($A6="",0,INDEX(設定_科目表!$F$2:$K$19,MATCH(M$1,設定_科目表!$B$2:$B$19,0),$B6))</f>
        <v>0</v>
      </c>
      <c r="N6" s="13" t="n">
        <f aca="false">IF($A6="",0,INDEX(設定_科目表!$F$2:$K$19,MATCH(N$1,設定_科目表!$B$2:$B$19,0),$B6))</f>
        <v>0</v>
      </c>
      <c r="O6" s="13" t="n">
        <f aca="false">IF($A6="",0,INDEX(設定_科目表!$F$2:$K$19,MATCH(O$1,設定_科目表!$B$2:$B$19,0),$B6))</f>
        <v>0</v>
      </c>
      <c r="P6" s="13" t="n">
        <f aca="false">IF($A6="",0,INDEX(設定_科目表!$F$2:$K$19,MATCH(P$1,設定_科目表!$B$2:$B$19,0),$B6))</f>
        <v>0</v>
      </c>
      <c r="Q6" s="13" t="n">
        <f aca="false">IF($A6="",0,INDEX(設定_科目表!$F$2:$K$19,MATCH(Q$1,設定_科目表!$B$2:$B$19,0),$B6))</f>
        <v>0</v>
      </c>
      <c r="R6" s="13" t="n">
        <f aca="false">IF($A6="",0,INDEX(設定_科目表!$F$2:$K$19,MATCH(R$1,設定_科目表!$B$2:$B$19,0),$B6))</f>
        <v>0</v>
      </c>
      <c r="S6" s="13" t="n">
        <f aca="false">IF($A6="",0,INDEX(設定_科目表!$F$2:$K$19,MATCH(S$1,設定_科目表!$B$2:$B$19,0),$B6))</f>
        <v>0</v>
      </c>
      <c r="T6" s="13" t="n">
        <f aca="false">IF($A6="",0,INDEX(設定_科目表!$F$2:$K$19,MATCH(T$1,設定_科目表!$B$2:$B$19,0),$B6))</f>
        <v>0</v>
      </c>
      <c r="U6" s="13" t="n">
        <f aca="false">IF($A6="",0,INDEX(設定_科目表!$F$2:$K$19,MATCH(U$1,設定_科目表!$B$2:$B$19,0),$B6))</f>
        <v>0</v>
      </c>
      <c r="V6" s="13" t="n">
        <f aca="false">SUM(D6:U6)</f>
        <v>0</v>
      </c>
      <c r="W6" s="13" t="str">
        <f aca="false">IF($A6="","",VLOOKUP($B6,設定_年段時段!$A$2:$AL$7,38,0))</f>
        <v/>
      </c>
      <c r="X6" s="13" t="str">
        <f aca="false">IF($A6="","",IF($V6=$W6,"✓","⚠不符"))</f>
        <v/>
      </c>
    </row>
    <row r="7" customFormat="false" ht="15" hidden="false" customHeight="true" outlineLevel="0" collapsed="false">
      <c r="A7" s="13" t="str">
        <f aca="false">IF(班級基本資料!A7="","",班級基本資料!A7)</f>
        <v/>
      </c>
      <c r="B7" s="13" t="str">
        <f aca="false">IF(班級基本資料!A7="","",班級基本資料!B7)</f>
        <v/>
      </c>
      <c r="C7" s="13" t="str">
        <f aca="false">IF(班級基本資料!A7="","",班級基本資料!C7)</f>
        <v/>
      </c>
      <c r="D7" s="13" t="n">
        <f aca="false">IF($A7="",0,INDEX(設定_科目表!$F$2:$K$19,MATCH(D$1,設定_科目表!$B$2:$B$19,0),$B7))</f>
        <v>0</v>
      </c>
      <c r="E7" s="13" t="n">
        <f aca="false">IF($A7="",0,INDEX(設定_科目表!$F$2:$K$19,MATCH(E$1,設定_科目表!$B$2:$B$19,0),$B7))</f>
        <v>0</v>
      </c>
      <c r="F7" s="13" t="n">
        <f aca="false">IF($A7="",0,INDEX(設定_科目表!$F$2:$K$19,MATCH(F$1,設定_科目表!$B$2:$B$19,0),$B7))</f>
        <v>0</v>
      </c>
      <c r="G7" s="13" t="n">
        <f aca="false">IF($A7="",0,INDEX(設定_科目表!$F$2:$K$19,MATCH(G$1,設定_科目表!$B$2:$B$19,0),$B7))</f>
        <v>0</v>
      </c>
      <c r="H7" s="13" t="n">
        <f aca="false">IF($A7="",0,INDEX(設定_科目表!$F$2:$K$19,MATCH(H$1,設定_科目表!$B$2:$B$19,0),$B7))</f>
        <v>0</v>
      </c>
      <c r="I7" s="13" t="n">
        <f aca="false">IF($A7="",0,INDEX(設定_科目表!$F$2:$K$19,MATCH(I$1,設定_科目表!$B$2:$B$19,0),$B7))</f>
        <v>0</v>
      </c>
      <c r="J7" s="13" t="n">
        <f aca="false">IF($A7="",0,INDEX(設定_科目表!$F$2:$K$19,MATCH(J$1,設定_科目表!$B$2:$B$19,0),$B7))</f>
        <v>0</v>
      </c>
      <c r="K7" s="13" t="n">
        <f aca="false">IF($A7="",0,INDEX(設定_科目表!$F$2:$K$19,MATCH(K$1,設定_科目表!$B$2:$B$19,0),$B7))</f>
        <v>0</v>
      </c>
      <c r="L7" s="13" t="n">
        <f aca="false">IF($A7="",0,INDEX(設定_科目表!$F$2:$K$19,MATCH(L$1,設定_科目表!$B$2:$B$19,0),$B7))</f>
        <v>0</v>
      </c>
      <c r="M7" s="13" t="n">
        <f aca="false">IF($A7="",0,INDEX(設定_科目表!$F$2:$K$19,MATCH(M$1,設定_科目表!$B$2:$B$19,0),$B7))</f>
        <v>0</v>
      </c>
      <c r="N7" s="13" t="n">
        <f aca="false">IF($A7="",0,INDEX(設定_科目表!$F$2:$K$19,MATCH(N$1,設定_科目表!$B$2:$B$19,0),$B7))</f>
        <v>0</v>
      </c>
      <c r="O7" s="13" t="n">
        <f aca="false">IF($A7="",0,INDEX(設定_科目表!$F$2:$K$19,MATCH(O$1,設定_科目表!$B$2:$B$19,0),$B7))</f>
        <v>0</v>
      </c>
      <c r="P7" s="13" t="n">
        <f aca="false">IF($A7="",0,INDEX(設定_科目表!$F$2:$K$19,MATCH(P$1,設定_科目表!$B$2:$B$19,0),$B7))</f>
        <v>0</v>
      </c>
      <c r="Q7" s="13" t="n">
        <f aca="false">IF($A7="",0,INDEX(設定_科目表!$F$2:$K$19,MATCH(Q$1,設定_科目表!$B$2:$B$19,0),$B7))</f>
        <v>0</v>
      </c>
      <c r="R7" s="13" t="n">
        <f aca="false">IF($A7="",0,INDEX(設定_科目表!$F$2:$K$19,MATCH(R$1,設定_科目表!$B$2:$B$19,0),$B7))</f>
        <v>0</v>
      </c>
      <c r="S7" s="13" t="n">
        <f aca="false">IF($A7="",0,INDEX(設定_科目表!$F$2:$K$19,MATCH(S$1,設定_科目表!$B$2:$B$19,0),$B7))</f>
        <v>0</v>
      </c>
      <c r="T7" s="13" t="n">
        <f aca="false">IF($A7="",0,INDEX(設定_科目表!$F$2:$K$19,MATCH(T$1,設定_科目表!$B$2:$B$19,0),$B7))</f>
        <v>0</v>
      </c>
      <c r="U7" s="13" t="n">
        <f aca="false">IF($A7="",0,INDEX(設定_科目表!$F$2:$K$19,MATCH(U$1,設定_科目表!$B$2:$B$19,0),$B7))</f>
        <v>0</v>
      </c>
      <c r="V7" s="13" t="n">
        <f aca="false">SUM(D7:U7)</f>
        <v>0</v>
      </c>
      <c r="W7" s="13" t="str">
        <f aca="false">IF($A7="","",VLOOKUP($B7,設定_年段時段!$A$2:$AL$7,38,0))</f>
        <v/>
      </c>
      <c r="X7" s="13" t="str">
        <f aca="false">IF($A7="","",IF($V7=$W7,"✓","⚠不符"))</f>
        <v/>
      </c>
    </row>
    <row r="8" customFormat="false" ht="15" hidden="false" customHeight="true" outlineLevel="0" collapsed="false">
      <c r="A8" s="13" t="str">
        <f aca="false">IF(班級基本資料!A8="","",班級基本資料!A8)</f>
        <v/>
      </c>
      <c r="B8" s="13" t="str">
        <f aca="false">IF(班級基本資料!A8="","",班級基本資料!B8)</f>
        <v/>
      </c>
      <c r="C8" s="13" t="str">
        <f aca="false">IF(班級基本資料!A8="","",班級基本資料!C8)</f>
        <v/>
      </c>
      <c r="D8" s="13" t="n">
        <f aca="false">IF($A8="",0,INDEX(設定_科目表!$F$2:$K$19,MATCH(D$1,設定_科目表!$B$2:$B$19,0),$B8))</f>
        <v>0</v>
      </c>
      <c r="E8" s="13" t="n">
        <f aca="false">IF($A8="",0,INDEX(設定_科目表!$F$2:$K$19,MATCH(E$1,設定_科目表!$B$2:$B$19,0),$B8))</f>
        <v>0</v>
      </c>
      <c r="F8" s="13" t="n">
        <f aca="false">IF($A8="",0,INDEX(設定_科目表!$F$2:$K$19,MATCH(F$1,設定_科目表!$B$2:$B$19,0),$B8))</f>
        <v>0</v>
      </c>
      <c r="G8" s="13" t="n">
        <f aca="false">IF($A8="",0,INDEX(設定_科目表!$F$2:$K$19,MATCH(G$1,設定_科目表!$B$2:$B$19,0),$B8))</f>
        <v>0</v>
      </c>
      <c r="H8" s="13" t="n">
        <f aca="false">IF($A8="",0,INDEX(設定_科目表!$F$2:$K$19,MATCH(H$1,設定_科目表!$B$2:$B$19,0),$B8))</f>
        <v>0</v>
      </c>
      <c r="I8" s="13" t="n">
        <f aca="false">IF($A8="",0,INDEX(設定_科目表!$F$2:$K$19,MATCH(I$1,設定_科目表!$B$2:$B$19,0),$B8))</f>
        <v>0</v>
      </c>
      <c r="J8" s="13" t="n">
        <f aca="false">IF($A8="",0,INDEX(設定_科目表!$F$2:$K$19,MATCH(J$1,設定_科目表!$B$2:$B$19,0),$B8))</f>
        <v>0</v>
      </c>
      <c r="K8" s="13" t="n">
        <f aca="false">IF($A8="",0,INDEX(設定_科目表!$F$2:$K$19,MATCH(K$1,設定_科目表!$B$2:$B$19,0),$B8))</f>
        <v>0</v>
      </c>
      <c r="L8" s="13" t="n">
        <f aca="false">IF($A8="",0,INDEX(設定_科目表!$F$2:$K$19,MATCH(L$1,設定_科目表!$B$2:$B$19,0),$B8))</f>
        <v>0</v>
      </c>
      <c r="M8" s="13" t="n">
        <f aca="false">IF($A8="",0,INDEX(設定_科目表!$F$2:$K$19,MATCH(M$1,設定_科目表!$B$2:$B$19,0),$B8))</f>
        <v>0</v>
      </c>
      <c r="N8" s="13" t="n">
        <f aca="false">IF($A8="",0,INDEX(設定_科目表!$F$2:$K$19,MATCH(N$1,設定_科目表!$B$2:$B$19,0),$B8))</f>
        <v>0</v>
      </c>
      <c r="O8" s="13" t="n">
        <f aca="false">IF($A8="",0,INDEX(設定_科目表!$F$2:$K$19,MATCH(O$1,設定_科目表!$B$2:$B$19,0),$B8))</f>
        <v>0</v>
      </c>
      <c r="P8" s="13" t="n">
        <f aca="false">IF($A8="",0,INDEX(設定_科目表!$F$2:$K$19,MATCH(P$1,設定_科目表!$B$2:$B$19,0),$B8))</f>
        <v>0</v>
      </c>
      <c r="Q8" s="13" t="n">
        <f aca="false">IF($A8="",0,INDEX(設定_科目表!$F$2:$K$19,MATCH(Q$1,設定_科目表!$B$2:$B$19,0),$B8))</f>
        <v>0</v>
      </c>
      <c r="R8" s="13" t="n">
        <f aca="false">IF($A8="",0,INDEX(設定_科目表!$F$2:$K$19,MATCH(R$1,設定_科目表!$B$2:$B$19,0),$B8))</f>
        <v>0</v>
      </c>
      <c r="S8" s="13" t="n">
        <f aca="false">IF($A8="",0,INDEX(設定_科目表!$F$2:$K$19,MATCH(S$1,設定_科目表!$B$2:$B$19,0),$B8))</f>
        <v>0</v>
      </c>
      <c r="T8" s="13" t="n">
        <f aca="false">IF($A8="",0,INDEX(設定_科目表!$F$2:$K$19,MATCH(T$1,設定_科目表!$B$2:$B$19,0),$B8))</f>
        <v>0</v>
      </c>
      <c r="U8" s="13" t="n">
        <f aca="false">IF($A8="",0,INDEX(設定_科目表!$F$2:$K$19,MATCH(U$1,設定_科目表!$B$2:$B$19,0),$B8))</f>
        <v>0</v>
      </c>
      <c r="V8" s="13" t="n">
        <f aca="false">SUM(D8:U8)</f>
        <v>0</v>
      </c>
      <c r="W8" s="13" t="str">
        <f aca="false">IF($A8="","",VLOOKUP($B8,設定_年段時段!$A$2:$AL$7,38,0))</f>
        <v/>
      </c>
      <c r="X8" s="13" t="str">
        <f aca="false">IF($A8="","",IF($V8=$W8,"✓","⚠不符"))</f>
        <v/>
      </c>
    </row>
    <row r="9" customFormat="false" ht="15" hidden="false" customHeight="true" outlineLevel="0" collapsed="false">
      <c r="A9" s="13" t="str">
        <f aca="false">IF(班級基本資料!A9="","",班級基本資料!A9)</f>
        <v/>
      </c>
      <c r="B9" s="13" t="str">
        <f aca="false">IF(班級基本資料!A9="","",班級基本資料!B9)</f>
        <v/>
      </c>
      <c r="C9" s="13" t="str">
        <f aca="false">IF(班級基本資料!A9="","",班級基本資料!C9)</f>
        <v/>
      </c>
      <c r="D9" s="13" t="n">
        <f aca="false">IF($A9="",0,INDEX(設定_科目表!$F$2:$K$19,MATCH(D$1,設定_科目表!$B$2:$B$19,0),$B9))</f>
        <v>0</v>
      </c>
      <c r="E9" s="13" t="n">
        <f aca="false">IF($A9="",0,INDEX(設定_科目表!$F$2:$K$19,MATCH(E$1,設定_科目表!$B$2:$B$19,0),$B9))</f>
        <v>0</v>
      </c>
      <c r="F9" s="13" t="n">
        <f aca="false">IF($A9="",0,INDEX(設定_科目表!$F$2:$K$19,MATCH(F$1,設定_科目表!$B$2:$B$19,0),$B9))</f>
        <v>0</v>
      </c>
      <c r="G9" s="13" t="n">
        <f aca="false">IF($A9="",0,INDEX(設定_科目表!$F$2:$K$19,MATCH(G$1,設定_科目表!$B$2:$B$19,0),$B9))</f>
        <v>0</v>
      </c>
      <c r="H9" s="13" t="n">
        <f aca="false">IF($A9="",0,INDEX(設定_科目表!$F$2:$K$19,MATCH(H$1,設定_科目表!$B$2:$B$19,0),$B9))</f>
        <v>0</v>
      </c>
      <c r="I9" s="13" t="n">
        <f aca="false">IF($A9="",0,INDEX(設定_科目表!$F$2:$K$19,MATCH(I$1,設定_科目表!$B$2:$B$19,0),$B9))</f>
        <v>0</v>
      </c>
      <c r="J9" s="13" t="n">
        <f aca="false">IF($A9="",0,INDEX(設定_科目表!$F$2:$K$19,MATCH(J$1,設定_科目表!$B$2:$B$19,0),$B9))</f>
        <v>0</v>
      </c>
      <c r="K9" s="13" t="n">
        <f aca="false">IF($A9="",0,INDEX(設定_科目表!$F$2:$K$19,MATCH(K$1,設定_科目表!$B$2:$B$19,0),$B9))</f>
        <v>0</v>
      </c>
      <c r="L9" s="13" t="n">
        <f aca="false">IF($A9="",0,INDEX(設定_科目表!$F$2:$K$19,MATCH(L$1,設定_科目表!$B$2:$B$19,0),$B9))</f>
        <v>0</v>
      </c>
      <c r="M9" s="13" t="n">
        <f aca="false">IF($A9="",0,INDEX(設定_科目表!$F$2:$K$19,MATCH(M$1,設定_科目表!$B$2:$B$19,0),$B9))</f>
        <v>0</v>
      </c>
      <c r="N9" s="13" t="n">
        <f aca="false">IF($A9="",0,INDEX(設定_科目表!$F$2:$K$19,MATCH(N$1,設定_科目表!$B$2:$B$19,0),$B9))</f>
        <v>0</v>
      </c>
      <c r="O9" s="13" t="n">
        <f aca="false">IF($A9="",0,INDEX(設定_科目表!$F$2:$K$19,MATCH(O$1,設定_科目表!$B$2:$B$19,0),$B9))</f>
        <v>0</v>
      </c>
      <c r="P9" s="13" t="n">
        <f aca="false">IF($A9="",0,INDEX(設定_科目表!$F$2:$K$19,MATCH(P$1,設定_科目表!$B$2:$B$19,0),$B9))</f>
        <v>0</v>
      </c>
      <c r="Q9" s="13" t="n">
        <f aca="false">IF($A9="",0,INDEX(設定_科目表!$F$2:$K$19,MATCH(Q$1,設定_科目表!$B$2:$B$19,0),$B9))</f>
        <v>0</v>
      </c>
      <c r="R9" s="13" t="n">
        <f aca="false">IF($A9="",0,INDEX(設定_科目表!$F$2:$K$19,MATCH(R$1,設定_科目表!$B$2:$B$19,0),$B9))</f>
        <v>0</v>
      </c>
      <c r="S9" s="13" t="n">
        <f aca="false">IF($A9="",0,INDEX(設定_科目表!$F$2:$K$19,MATCH(S$1,設定_科目表!$B$2:$B$19,0),$B9))</f>
        <v>0</v>
      </c>
      <c r="T9" s="13" t="n">
        <f aca="false">IF($A9="",0,INDEX(設定_科目表!$F$2:$K$19,MATCH(T$1,設定_科目表!$B$2:$B$19,0),$B9))</f>
        <v>0</v>
      </c>
      <c r="U9" s="13" t="n">
        <f aca="false">IF($A9="",0,INDEX(設定_科目表!$F$2:$K$19,MATCH(U$1,設定_科目表!$B$2:$B$19,0),$B9))</f>
        <v>0</v>
      </c>
      <c r="V9" s="13" t="n">
        <f aca="false">SUM(D9:U9)</f>
        <v>0</v>
      </c>
      <c r="W9" s="13" t="str">
        <f aca="false">IF($A9="","",VLOOKUP($B9,設定_年段時段!$A$2:$AL$7,38,0))</f>
        <v/>
      </c>
      <c r="X9" s="13" t="str">
        <f aca="false">IF($A9="","",IF($V9=$W9,"✓","⚠不符"))</f>
        <v/>
      </c>
    </row>
    <row r="10" customFormat="false" ht="15" hidden="false" customHeight="true" outlineLevel="0" collapsed="false">
      <c r="A10" s="13" t="str">
        <f aca="false">IF(班級基本資料!A10="","",班級基本資料!A10)</f>
        <v/>
      </c>
      <c r="B10" s="13" t="str">
        <f aca="false">IF(班級基本資料!A10="","",班級基本資料!B10)</f>
        <v/>
      </c>
      <c r="C10" s="13" t="str">
        <f aca="false">IF(班級基本資料!A10="","",班級基本資料!C10)</f>
        <v/>
      </c>
      <c r="D10" s="13" t="n">
        <f aca="false">IF($A10="",0,INDEX(設定_科目表!$F$2:$K$19,MATCH(D$1,設定_科目表!$B$2:$B$19,0),$B10))</f>
        <v>0</v>
      </c>
      <c r="E10" s="13" t="n">
        <f aca="false">IF($A10="",0,INDEX(設定_科目表!$F$2:$K$19,MATCH(E$1,設定_科目表!$B$2:$B$19,0),$B10))</f>
        <v>0</v>
      </c>
      <c r="F10" s="13" t="n">
        <f aca="false">IF($A10="",0,INDEX(設定_科目表!$F$2:$K$19,MATCH(F$1,設定_科目表!$B$2:$B$19,0),$B10))</f>
        <v>0</v>
      </c>
      <c r="G10" s="13" t="n">
        <f aca="false">IF($A10="",0,INDEX(設定_科目表!$F$2:$K$19,MATCH(G$1,設定_科目表!$B$2:$B$19,0),$B10))</f>
        <v>0</v>
      </c>
      <c r="H10" s="13" t="n">
        <f aca="false">IF($A10="",0,INDEX(設定_科目表!$F$2:$K$19,MATCH(H$1,設定_科目表!$B$2:$B$19,0),$B10))</f>
        <v>0</v>
      </c>
      <c r="I10" s="13" t="n">
        <f aca="false">IF($A10="",0,INDEX(設定_科目表!$F$2:$K$19,MATCH(I$1,設定_科目表!$B$2:$B$19,0),$B10))</f>
        <v>0</v>
      </c>
      <c r="J10" s="13" t="n">
        <f aca="false">IF($A10="",0,INDEX(設定_科目表!$F$2:$K$19,MATCH(J$1,設定_科目表!$B$2:$B$19,0),$B10))</f>
        <v>0</v>
      </c>
      <c r="K10" s="13" t="n">
        <f aca="false">IF($A10="",0,INDEX(設定_科目表!$F$2:$K$19,MATCH(K$1,設定_科目表!$B$2:$B$19,0),$B10))</f>
        <v>0</v>
      </c>
      <c r="L10" s="13" t="n">
        <f aca="false">IF($A10="",0,INDEX(設定_科目表!$F$2:$K$19,MATCH(L$1,設定_科目表!$B$2:$B$19,0),$B10))</f>
        <v>0</v>
      </c>
      <c r="M10" s="13" t="n">
        <f aca="false">IF($A10="",0,INDEX(設定_科目表!$F$2:$K$19,MATCH(M$1,設定_科目表!$B$2:$B$19,0),$B10))</f>
        <v>0</v>
      </c>
      <c r="N10" s="13" t="n">
        <f aca="false">IF($A10="",0,INDEX(設定_科目表!$F$2:$K$19,MATCH(N$1,設定_科目表!$B$2:$B$19,0),$B10))</f>
        <v>0</v>
      </c>
      <c r="O10" s="13" t="n">
        <f aca="false">IF($A10="",0,INDEX(設定_科目表!$F$2:$K$19,MATCH(O$1,設定_科目表!$B$2:$B$19,0),$B10))</f>
        <v>0</v>
      </c>
      <c r="P10" s="13" t="n">
        <f aca="false">IF($A10="",0,INDEX(設定_科目表!$F$2:$K$19,MATCH(P$1,設定_科目表!$B$2:$B$19,0),$B10))</f>
        <v>0</v>
      </c>
      <c r="Q10" s="13" t="n">
        <f aca="false">IF($A10="",0,INDEX(設定_科目表!$F$2:$K$19,MATCH(Q$1,設定_科目表!$B$2:$B$19,0),$B10))</f>
        <v>0</v>
      </c>
      <c r="R10" s="13" t="n">
        <f aca="false">IF($A10="",0,INDEX(設定_科目表!$F$2:$K$19,MATCH(R$1,設定_科目表!$B$2:$B$19,0),$B10))</f>
        <v>0</v>
      </c>
      <c r="S10" s="13" t="n">
        <f aca="false">IF($A10="",0,INDEX(設定_科目表!$F$2:$K$19,MATCH(S$1,設定_科目表!$B$2:$B$19,0),$B10))</f>
        <v>0</v>
      </c>
      <c r="T10" s="13" t="n">
        <f aca="false">IF($A10="",0,INDEX(設定_科目表!$F$2:$K$19,MATCH(T$1,設定_科目表!$B$2:$B$19,0),$B10))</f>
        <v>0</v>
      </c>
      <c r="U10" s="13" t="n">
        <f aca="false">IF($A10="",0,INDEX(設定_科目表!$F$2:$K$19,MATCH(U$1,設定_科目表!$B$2:$B$19,0),$B10))</f>
        <v>0</v>
      </c>
      <c r="V10" s="13" t="n">
        <f aca="false">SUM(D10:U10)</f>
        <v>0</v>
      </c>
      <c r="W10" s="13" t="str">
        <f aca="false">IF($A10="","",VLOOKUP($B10,設定_年段時段!$A$2:$AL$7,38,0))</f>
        <v/>
      </c>
      <c r="X10" s="13" t="str">
        <f aca="false">IF($A10="","",IF($V10=$W10,"✓","⚠不符"))</f>
        <v/>
      </c>
    </row>
    <row r="11" customFormat="false" ht="15" hidden="false" customHeight="true" outlineLevel="0" collapsed="false">
      <c r="A11" s="13" t="str">
        <f aca="false">IF(班級基本資料!A11="","",班級基本資料!A11)</f>
        <v/>
      </c>
      <c r="B11" s="13" t="str">
        <f aca="false">IF(班級基本資料!A11="","",班級基本資料!B11)</f>
        <v/>
      </c>
      <c r="C11" s="13" t="str">
        <f aca="false">IF(班級基本資料!A11="","",班級基本資料!C11)</f>
        <v/>
      </c>
      <c r="D11" s="13" t="n">
        <f aca="false">IF($A11="",0,INDEX(設定_科目表!$F$2:$K$19,MATCH(D$1,設定_科目表!$B$2:$B$19,0),$B11))</f>
        <v>0</v>
      </c>
      <c r="E11" s="13" t="n">
        <f aca="false">IF($A11="",0,INDEX(設定_科目表!$F$2:$K$19,MATCH(E$1,設定_科目表!$B$2:$B$19,0),$B11))</f>
        <v>0</v>
      </c>
      <c r="F11" s="13" t="n">
        <f aca="false">IF($A11="",0,INDEX(設定_科目表!$F$2:$K$19,MATCH(F$1,設定_科目表!$B$2:$B$19,0),$B11))</f>
        <v>0</v>
      </c>
      <c r="G11" s="13" t="n">
        <f aca="false">IF($A11="",0,INDEX(設定_科目表!$F$2:$K$19,MATCH(G$1,設定_科目表!$B$2:$B$19,0),$B11))</f>
        <v>0</v>
      </c>
      <c r="H11" s="13" t="n">
        <f aca="false">IF($A11="",0,INDEX(設定_科目表!$F$2:$K$19,MATCH(H$1,設定_科目表!$B$2:$B$19,0),$B11))</f>
        <v>0</v>
      </c>
      <c r="I11" s="13" t="n">
        <f aca="false">IF($A11="",0,INDEX(設定_科目表!$F$2:$K$19,MATCH(I$1,設定_科目表!$B$2:$B$19,0),$B11))</f>
        <v>0</v>
      </c>
      <c r="J11" s="13" t="n">
        <f aca="false">IF($A11="",0,INDEX(設定_科目表!$F$2:$K$19,MATCH(J$1,設定_科目表!$B$2:$B$19,0),$B11))</f>
        <v>0</v>
      </c>
      <c r="K11" s="13" t="n">
        <f aca="false">IF($A11="",0,INDEX(設定_科目表!$F$2:$K$19,MATCH(K$1,設定_科目表!$B$2:$B$19,0),$B11))</f>
        <v>0</v>
      </c>
      <c r="L11" s="13" t="n">
        <f aca="false">IF($A11="",0,INDEX(設定_科目表!$F$2:$K$19,MATCH(L$1,設定_科目表!$B$2:$B$19,0),$B11))</f>
        <v>0</v>
      </c>
      <c r="M11" s="13" t="n">
        <f aca="false">IF($A11="",0,INDEX(設定_科目表!$F$2:$K$19,MATCH(M$1,設定_科目表!$B$2:$B$19,0),$B11))</f>
        <v>0</v>
      </c>
      <c r="N11" s="13" t="n">
        <f aca="false">IF($A11="",0,INDEX(設定_科目表!$F$2:$K$19,MATCH(N$1,設定_科目表!$B$2:$B$19,0),$B11))</f>
        <v>0</v>
      </c>
      <c r="O11" s="13" t="n">
        <f aca="false">IF($A11="",0,INDEX(設定_科目表!$F$2:$K$19,MATCH(O$1,設定_科目表!$B$2:$B$19,0),$B11))</f>
        <v>0</v>
      </c>
      <c r="P11" s="13" t="n">
        <f aca="false">IF($A11="",0,INDEX(設定_科目表!$F$2:$K$19,MATCH(P$1,設定_科目表!$B$2:$B$19,0),$B11))</f>
        <v>0</v>
      </c>
      <c r="Q11" s="13" t="n">
        <f aca="false">IF($A11="",0,INDEX(設定_科目表!$F$2:$K$19,MATCH(Q$1,設定_科目表!$B$2:$B$19,0),$B11))</f>
        <v>0</v>
      </c>
      <c r="R11" s="13" t="n">
        <f aca="false">IF($A11="",0,INDEX(設定_科目表!$F$2:$K$19,MATCH(R$1,設定_科目表!$B$2:$B$19,0),$B11))</f>
        <v>0</v>
      </c>
      <c r="S11" s="13" t="n">
        <f aca="false">IF($A11="",0,INDEX(設定_科目表!$F$2:$K$19,MATCH(S$1,設定_科目表!$B$2:$B$19,0),$B11))</f>
        <v>0</v>
      </c>
      <c r="T11" s="13" t="n">
        <f aca="false">IF($A11="",0,INDEX(設定_科目表!$F$2:$K$19,MATCH(T$1,設定_科目表!$B$2:$B$19,0),$B11))</f>
        <v>0</v>
      </c>
      <c r="U11" s="13" t="n">
        <f aca="false">IF($A11="",0,INDEX(設定_科目表!$F$2:$K$19,MATCH(U$1,設定_科目表!$B$2:$B$19,0),$B11))</f>
        <v>0</v>
      </c>
      <c r="V11" s="13" t="n">
        <f aca="false">SUM(D11:U11)</f>
        <v>0</v>
      </c>
      <c r="W11" s="13" t="str">
        <f aca="false">IF($A11="","",VLOOKUP($B11,設定_年段時段!$A$2:$AL$7,38,0))</f>
        <v/>
      </c>
      <c r="X11" s="13" t="str">
        <f aca="false">IF($A11="","",IF($V11=$W11,"✓","⚠不符"))</f>
        <v/>
      </c>
    </row>
    <row r="12" customFormat="false" ht="15" hidden="false" customHeight="true" outlineLevel="0" collapsed="false">
      <c r="A12" s="13" t="str">
        <f aca="false">IF(班級基本資料!A12="","",班級基本資料!A12)</f>
        <v/>
      </c>
      <c r="B12" s="13" t="str">
        <f aca="false">IF(班級基本資料!A12="","",班級基本資料!B12)</f>
        <v/>
      </c>
      <c r="C12" s="13" t="str">
        <f aca="false">IF(班級基本資料!A12="","",班級基本資料!C12)</f>
        <v/>
      </c>
      <c r="D12" s="13" t="n">
        <f aca="false">IF($A12="",0,INDEX(設定_科目表!$F$2:$K$19,MATCH(D$1,設定_科目表!$B$2:$B$19,0),$B12))</f>
        <v>0</v>
      </c>
      <c r="E12" s="13" t="n">
        <f aca="false">IF($A12="",0,INDEX(設定_科目表!$F$2:$K$19,MATCH(E$1,設定_科目表!$B$2:$B$19,0),$B12))</f>
        <v>0</v>
      </c>
      <c r="F12" s="13" t="n">
        <f aca="false">IF($A12="",0,INDEX(設定_科目表!$F$2:$K$19,MATCH(F$1,設定_科目表!$B$2:$B$19,0),$B12))</f>
        <v>0</v>
      </c>
      <c r="G12" s="13" t="n">
        <f aca="false">IF($A12="",0,INDEX(設定_科目表!$F$2:$K$19,MATCH(G$1,設定_科目表!$B$2:$B$19,0),$B12))</f>
        <v>0</v>
      </c>
      <c r="H12" s="13" t="n">
        <f aca="false">IF($A12="",0,INDEX(設定_科目表!$F$2:$K$19,MATCH(H$1,設定_科目表!$B$2:$B$19,0),$B12))</f>
        <v>0</v>
      </c>
      <c r="I12" s="13" t="n">
        <f aca="false">IF($A12="",0,INDEX(設定_科目表!$F$2:$K$19,MATCH(I$1,設定_科目表!$B$2:$B$19,0),$B12))</f>
        <v>0</v>
      </c>
      <c r="J12" s="13" t="n">
        <f aca="false">IF($A12="",0,INDEX(設定_科目表!$F$2:$K$19,MATCH(J$1,設定_科目表!$B$2:$B$19,0),$B12))</f>
        <v>0</v>
      </c>
      <c r="K12" s="13" t="n">
        <f aca="false">IF($A12="",0,INDEX(設定_科目表!$F$2:$K$19,MATCH(K$1,設定_科目表!$B$2:$B$19,0),$B12))</f>
        <v>0</v>
      </c>
      <c r="L12" s="13" t="n">
        <f aca="false">IF($A12="",0,INDEX(設定_科目表!$F$2:$K$19,MATCH(L$1,設定_科目表!$B$2:$B$19,0),$B12))</f>
        <v>0</v>
      </c>
      <c r="M12" s="13" t="n">
        <f aca="false">IF($A12="",0,INDEX(設定_科目表!$F$2:$K$19,MATCH(M$1,設定_科目表!$B$2:$B$19,0),$B12))</f>
        <v>0</v>
      </c>
      <c r="N12" s="13" t="n">
        <f aca="false">IF($A12="",0,INDEX(設定_科目表!$F$2:$K$19,MATCH(N$1,設定_科目表!$B$2:$B$19,0),$B12))</f>
        <v>0</v>
      </c>
      <c r="O12" s="13" t="n">
        <f aca="false">IF($A12="",0,INDEX(設定_科目表!$F$2:$K$19,MATCH(O$1,設定_科目表!$B$2:$B$19,0),$B12))</f>
        <v>0</v>
      </c>
      <c r="P12" s="13" t="n">
        <f aca="false">IF($A12="",0,INDEX(設定_科目表!$F$2:$K$19,MATCH(P$1,設定_科目表!$B$2:$B$19,0),$B12))</f>
        <v>0</v>
      </c>
      <c r="Q12" s="13" t="n">
        <f aca="false">IF($A12="",0,INDEX(設定_科目表!$F$2:$K$19,MATCH(Q$1,設定_科目表!$B$2:$B$19,0),$B12))</f>
        <v>0</v>
      </c>
      <c r="R12" s="13" t="n">
        <f aca="false">IF($A12="",0,INDEX(設定_科目表!$F$2:$K$19,MATCH(R$1,設定_科目表!$B$2:$B$19,0),$B12))</f>
        <v>0</v>
      </c>
      <c r="S12" s="13" t="n">
        <f aca="false">IF($A12="",0,INDEX(設定_科目表!$F$2:$K$19,MATCH(S$1,設定_科目表!$B$2:$B$19,0),$B12))</f>
        <v>0</v>
      </c>
      <c r="T12" s="13" t="n">
        <f aca="false">IF($A12="",0,INDEX(設定_科目表!$F$2:$K$19,MATCH(T$1,設定_科目表!$B$2:$B$19,0),$B12))</f>
        <v>0</v>
      </c>
      <c r="U12" s="13" t="n">
        <f aca="false">IF($A12="",0,INDEX(設定_科目表!$F$2:$K$19,MATCH(U$1,設定_科目表!$B$2:$B$19,0),$B12))</f>
        <v>0</v>
      </c>
      <c r="V12" s="13" t="n">
        <f aca="false">SUM(D12:U12)</f>
        <v>0</v>
      </c>
      <c r="W12" s="13" t="str">
        <f aca="false">IF($A12="","",VLOOKUP($B12,設定_年段時段!$A$2:$AL$7,38,0))</f>
        <v/>
      </c>
      <c r="X12" s="13" t="str">
        <f aca="false">IF($A12="","",IF($V12=$W12,"✓","⚠不符"))</f>
        <v/>
      </c>
    </row>
    <row r="13" customFormat="false" ht="15" hidden="false" customHeight="true" outlineLevel="0" collapsed="false">
      <c r="A13" s="13" t="str">
        <f aca="false">IF(班級基本資料!A13="","",班級基本資料!A13)</f>
        <v/>
      </c>
      <c r="B13" s="13" t="str">
        <f aca="false">IF(班級基本資料!A13="","",班級基本資料!B13)</f>
        <v/>
      </c>
      <c r="C13" s="13" t="str">
        <f aca="false">IF(班級基本資料!A13="","",班級基本資料!C13)</f>
        <v/>
      </c>
      <c r="D13" s="13" t="n">
        <f aca="false">IF($A13="",0,INDEX(設定_科目表!$F$2:$K$19,MATCH(D$1,設定_科目表!$B$2:$B$19,0),$B13))</f>
        <v>0</v>
      </c>
      <c r="E13" s="13" t="n">
        <f aca="false">IF($A13="",0,INDEX(設定_科目表!$F$2:$K$19,MATCH(E$1,設定_科目表!$B$2:$B$19,0),$B13))</f>
        <v>0</v>
      </c>
      <c r="F13" s="13" t="n">
        <f aca="false">IF($A13="",0,INDEX(設定_科目表!$F$2:$K$19,MATCH(F$1,設定_科目表!$B$2:$B$19,0),$B13))</f>
        <v>0</v>
      </c>
      <c r="G13" s="13" t="n">
        <f aca="false">IF($A13="",0,INDEX(設定_科目表!$F$2:$K$19,MATCH(G$1,設定_科目表!$B$2:$B$19,0),$B13))</f>
        <v>0</v>
      </c>
      <c r="H13" s="13" t="n">
        <f aca="false">IF($A13="",0,INDEX(設定_科目表!$F$2:$K$19,MATCH(H$1,設定_科目表!$B$2:$B$19,0),$B13))</f>
        <v>0</v>
      </c>
      <c r="I13" s="13" t="n">
        <f aca="false">IF($A13="",0,INDEX(設定_科目表!$F$2:$K$19,MATCH(I$1,設定_科目表!$B$2:$B$19,0),$B13))</f>
        <v>0</v>
      </c>
      <c r="J13" s="13" t="n">
        <f aca="false">IF($A13="",0,INDEX(設定_科目表!$F$2:$K$19,MATCH(J$1,設定_科目表!$B$2:$B$19,0),$B13))</f>
        <v>0</v>
      </c>
      <c r="K13" s="13" t="n">
        <f aca="false">IF($A13="",0,INDEX(設定_科目表!$F$2:$K$19,MATCH(K$1,設定_科目表!$B$2:$B$19,0),$B13))</f>
        <v>0</v>
      </c>
      <c r="L13" s="13" t="n">
        <f aca="false">IF($A13="",0,INDEX(設定_科目表!$F$2:$K$19,MATCH(L$1,設定_科目表!$B$2:$B$19,0),$B13))</f>
        <v>0</v>
      </c>
      <c r="M13" s="13" t="n">
        <f aca="false">IF($A13="",0,INDEX(設定_科目表!$F$2:$K$19,MATCH(M$1,設定_科目表!$B$2:$B$19,0),$B13))</f>
        <v>0</v>
      </c>
      <c r="N13" s="13" t="n">
        <f aca="false">IF($A13="",0,INDEX(設定_科目表!$F$2:$K$19,MATCH(N$1,設定_科目表!$B$2:$B$19,0),$B13))</f>
        <v>0</v>
      </c>
      <c r="O13" s="13" t="n">
        <f aca="false">IF($A13="",0,INDEX(設定_科目表!$F$2:$K$19,MATCH(O$1,設定_科目表!$B$2:$B$19,0),$B13))</f>
        <v>0</v>
      </c>
      <c r="P13" s="13" t="n">
        <f aca="false">IF($A13="",0,INDEX(設定_科目表!$F$2:$K$19,MATCH(P$1,設定_科目表!$B$2:$B$19,0),$B13))</f>
        <v>0</v>
      </c>
      <c r="Q13" s="13" t="n">
        <f aca="false">IF($A13="",0,INDEX(設定_科目表!$F$2:$K$19,MATCH(Q$1,設定_科目表!$B$2:$B$19,0),$B13))</f>
        <v>0</v>
      </c>
      <c r="R13" s="13" t="n">
        <f aca="false">IF($A13="",0,INDEX(設定_科目表!$F$2:$K$19,MATCH(R$1,設定_科目表!$B$2:$B$19,0),$B13))</f>
        <v>0</v>
      </c>
      <c r="S13" s="13" t="n">
        <f aca="false">IF($A13="",0,INDEX(設定_科目表!$F$2:$K$19,MATCH(S$1,設定_科目表!$B$2:$B$19,0),$B13))</f>
        <v>0</v>
      </c>
      <c r="T13" s="13" t="n">
        <f aca="false">IF($A13="",0,INDEX(設定_科目表!$F$2:$K$19,MATCH(T$1,設定_科目表!$B$2:$B$19,0),$B13))</f>
        <v>0</v>
      </c>
      <c r="U13" s="13" t="n">
        <f aca="false">IF($A13="",0,INDEX(設定_科目表!$F$2:$K$19,MATCH(U$1,設定_科目表!$B$2:$B$19,0),$B13))</f>
        <v>0</v>
      </c>
      <c r="V13" s="13" t="n">
        <f aca="false">SUM(D13:U13)</f>
        <v>0</v>
      </c>
      <c r="W13" s="13" t="str">
        <f aca="false">IF($A13="","",VLOOKUP($B13,設定_年段時段!$A$2:$AL$7,38,0))</f>
        <v/>
      </c>
      <c r="X13" s="13" t="str">
        <f aca="false">IF($A13="","",IF($V13=$W13,"✓","⚠不符"))</f>
        <v/>
      </c>
    </row>
    <row r="14" customFormat="false" ht="15" hidden="false" customHeight="true" outlineLevel="0" collapsed="false">
      <c r="A14" s="13" t="str">
        <f aca="false">IF(班級基本資料!A14="","",班級基本資料!A14)</f>
        <v/>
      </c>
      <c r="B14" s="13" t="str">
        <f aca="false">IF(班級基本資料!A14="","",班級基本資料!B14)</f>
        <v/>
      </c>
      <c r="C14" s="13" t="str">
        <f aca="false">IF(班級基本資料!A14="","",班級基本資料!C14)</f>
        <v/>
      </c>
      <c r="D14" s="13" t="n">
        <f aca="false">IF($A14="",0,INDEX(設定_科目表!$F$2:$K$19,MATCH(D$1,設定_科目表!$B$2:$B$19,0),$B14))</f>
        <v>0</v>
      </c>
      <c r="E14" s="13" t="n">
        <f aca="false">IF($A14="",0,INDEX(設定_科目表!$F$2:$K$19,MATCH(E$1,設定_科目表!$B$2:$B$19,0),$B14))</f>
        <v>0</v>
      </c>
      <c r="F14" s="13" t="n">
        <f aca="false">IF($A14="",0,INDEX(設定_科目表!$F$2:$K$19,MATCH(F$1,設定_科目表!$B$2:$B$19,0),$B14))</f>
        <v>0</v>
      </c>
      <c r="G14" s="13" t="n">
        <f aca="false">IF($A14="",0,INDEX(設定_科目表!$F$2:$K$19,MATCH(G$1,設定_科目表!$B$2:$B$19,0),$B14))</f>
        <v>0</v>
      </c>
      <c r="H14" s="13" t="n">
        <f aca="false">IF($A14="",0,INDEX(設定_科目表!$F$2:$K$19,MATCH(H$1,設定_科目表!$B$2:$B$19,0),$B14))</f>
        <v>0</v>
      </c>
      <c r="I14" s="13" t="n">
        <f aca="false">IF($A14="",0,INDEX(設定_科目表!$F$2:$K$19,MATCH(I$1,設定_科目表!$B$2:$B$19,0),$B14))</f>
        <v>0</v>
      </c>
      <c r="J14" s="13" t="n">
        <f aca="false">IF($A14="",0,INDEX(設定_科目表!$F$2:$K$19,MATCH(J$1,設定_科目表!$B$2:$B$19,0),$B14))</f>
        <v>0</v>
      </c>
      <c r="K14" s="13" t="n">
        <f aca="false">IF($A14="",0,INDEX(設定_科目表!$F$2:$K$19,MATCH(K$1,設定_科目表!$B$2:$B$19,0),$B14))</f>
        <v>0</v>
      </c>
      <c r="L14" s="13" t="n">
        <f aca="false">IF($A14="",0,INDEX(設定_科目表!$F$2:$K$19,MATCH(L$1,設定_科目表!$B$2:$B$19,0),$B14))</f>
        <v>0</v>
      </c>
      <c r="M14" s="13" t="n">
        <f aca="false">IF($A14="",0,INDEX(設定_科目表!$F$2:$K$19,MATCH(M$1,設定_科目表!$B$2:$B$19,0),$B14))</f>
        <v>0</v>
      </c>
      <c r="N14" s="13" t="n">
        <f aca="false">IF($A14="",0,INDEX(設定_科目表!$F$2:$K$19,MATCH(N$1,設定_科目表!$B$2:$B$19,0),$B14))</f>
        <v>0</v>
      </c>
      <c r="O14" s="13" t="n">
        <f aca="false">IF($A14="",0,INDEX(設定_科目表!$F$2:$K$19,MATCH(O$1,設定_科目表!$B$2:$B$19,0),$B14))</f>
        <v>0</v>
      </c>
      <c r="P14" s="13" t="n">
        <f aca="false">IF($A14="",0,INDEX(設定_科目表!$F$2:$K$19,MATCH(P$1,設定_科目表!$B$2:$B$19,0),$B14))</f>
        <v>0</v>
      </c>
      <c r="Q14" s="13" t="n">
        <f aca="false">IF($A14="",0,INDEX(設定_科目表!$F$2:$K$19,MATCH(Q$1,設定_科目表!$B$2:$B$19,0),$B14))</f>
        <v>0</v>
      </c>
      <c r="R14" s="13" t="n">
        <f aca="false">IF($A14="",0,INDEX(設定_科目表!$F$2:$K$19,MATCH(R$1,設定_科目表!$B$2:$B$19,0),$B14))</f>
        <v>0</v>
      </c>
      <c r="S14" s="13" t="n">
        <f aca="false">IF($A14="",0,INDEX(設定_科目表!$F$2:$K$19,MATCH(S$1,設定_科目表!$B$2:$B$19,0),$B14))</f>
        <v>0</v>
      </c>
      <c r="T14" s="13" t="n">
        <f aca="false">IF($A14="",0,INDEX(設定_科目表!$F$2:$K$19,MATCH(T$1,設定_科目表!$B$2:$B$19,0),$B14))</f>
        <v>0</v>
      </c>
      <c r="U14" s="13" t="n">
        <f aca="false">IF($A14="",0,INDEX(設定_科目表!$F$2:$K$19,MATCH(U$1,設定_科目表!$B$2:$B$19,0),$B14))</f>
        <v>0</v>
      </c>
      <c r="V14" s="13" t="n">
        <f aca="false">SUM(D14:U14)</f>
        <v>0</v>
      </c>
      <c r="W14" s="13" t="str">
        <f aca="false">IF($A14="","",VLOOKUP($B14,設定_年段時段!$A$2:$AL$7,38,0))</f>
        <v/>
      </c>
      <c r="X14" s="13" t="str">
        <f aca="false">IF($A14="","",IF($V14=$W14,"✓","⚠不符"))</f>
        <v/>
      </c>
    </row>
    <row r="15" customFormat="false" ht="15" hidden="false" customHeight="true" outlineLevel="0" collapsed="false">
      <c r="A15" s="13" t="str">
        <f aca="false">IF(班級基本資料!A15="","",班級基本資料!A15)</f>
        <v/>
      </c>
      <c r="B15" s="13" t="str">
        <f aca="false">IF(班級基本資料!A15="","",班級基本資料!B15)</f>
        <v/>
      </c>
      <c r="C15" s="13" t="str">
        <f aca="false">IF(班級基本資料!A15="","",班級基本資料!C15)</f>
        <v/>
      </c>
      <c r="D15" s="13" t="n">
        <f aca="false">IF($A15="",0,INDEX(設定_科目表!$F$2:$K$19,MATCH(D$1,設定_科目表!$B$2:$B$19,0),$B15))</f>
        <v>0</v>
      </c>
      <c r="E15" s="13" t="n">
        <f aca="false">IF($A15="",0,INDEX(設定_科目表!$F$2:$K$19,MATCH(E$1,設定_科目表!$B$2:$B$19,0),$B15))</f>
        <v>0</v>
      </c>
      <c r="F15" s="13" t="n">
        <f aca="false">IF($A15="",0,INDEX(設定_科目表!$F$2:$K$19,MATCH(F$1,設定_科目表!$B$2:$B$19,0),$B15))</f>
        <v>0</v>
      </c>
      <c r="G15" s="13" t="n">
        <f aca="false">IF($A15="",0,INDEX(設定_科目表!$F$2:$K$19,MATCH(G$1,設定_科目表!$B$2:$B$19,0),$B15))</f>
        <v>0</v>
      </c>
      <c r="H15" s="13" t="n">
        <f aca="false">IF($A15="",0,INDEX(設定_科目表!$F$2:$K$19,MATCH(H$1,設定_科目表!$B$2:$B$19,0),$B15))</f>
        <v>0</v>
      </c>
      <c r="I15" s="13" t="n">
        <f aca="false">IF($A15="",0,INDEX(設定_科目表!$F$2:$K$19,MATCH(I$1,設定_科目表!$B$2:$B$19,0),$B15))</f>
        <v>0</v>
      </c>
      <c r="J15" s="13" t="n">
        <f aca="false">IF($A15="",0,INDEX(設定_科目表!$F$2:$K$19,MATCH(J$1,設定_科目表!$B$2:$B$19,0),$B15))</f>
        <v>0</v>
      </c>
      <c r="K15" s="13" t="n">
        <f aca="false">IF($A15="",0,INDEX(設定_科目表!$F$2:$K$19,MATCH(K$1,設定_科目表!$B$2:$B$19,0),$B15))</f>
        <v>0</v>
      </c>
      <c r="L15" s="13" t="n">
        <f aca="false">IF($A15="",0,INDEX(設定_科目表!$F$2:$K$19,MATCH(L$1,設定_科目表!$B$2:$B$19,0),$B15))</f>
        <v>0</v>
      </c>
      <c r="M15" s="13" t="n">
        <f aca="false">IF($A15="",0,INDEX(設定_科目表!$F$2:$K$19,MATCH(M$1,設定_科目表!$B$2:$B$19,0),$B15))</f>
        <v>0</v>
      </c>
      <c r="N15" s="13" t="n">
        <f aca="false">IF($A15="",0,INDEX(設定_科目表!$F$2:$K$19,MATCH(N$1,設定_科目表!$B$2:$B$19,0),$B15))</f>
        <v>0</v>
      </c>
      <c r="O15" s="13" t="n">
        <f aca="false">IF($A15="",0,INDEX(設定_科目表!$F$2:$K$19,MATCH(O$1,設定_科目表!$B$2:$B$19,0),$B15))</f>
        <v>0</v>
      </c>
      <c r="P15" s="13" t="n">
        <f aca="false">IF($A15="",0,INDEX(設定_科目表!$F$2:$K$19,MATCH(P$1,設定_科目表!$B$2:$B$19,0),$B15))</f>
        <v>0</v>
      </c>
      <c r="Q15" s="13" t="n">
        <f aca="false">IF($A15="",0,INDEX(設定_科目表!$F$2:$K$19,MATCH(Q$1,設定_科目表!$B$2:$B$19,0),$B15))</f>
        <v>0</v>
      </c>
      <c r="R15" s="13" t="n">
        <f aca="false">IF($A15="",0,INDEX(設定_科目表!$F$2:$K$19,MATCH(R$1,設定_科目表!$B$2:$B$19,0),$B15))</f>
        <v>0</v>
      </c>
      <c r="S15" s="13" t="n">
        <f aca="false">IF($A15="",0,INDEX(設定_科目表!$F$2:$K$19,MATCH(S$1,設定_科目表!$B$2:$B$19,0),$B15))</f>
        <v>0</v>
      </c>
      <c r="T15" s="13" t="n">
        <f aca="false">IF($A15="",0,INDEX(設定_科目表!$F$2:$K$19,MATCH(T$1,設定_科目表!$B$2:$B$19,0),$B15))</f>
        <v>0</v>
      </c>
      <c r="U15" s="13" t="n">
        <f aca="false">IF($A15="",0,INDEX(設定_科目表!$F$2:$K$19,MATCH(U$1,設定_科目表!$B$2:$B$19,0),$B15))</f>
        <v>0</v>
      </c>
      <c r="V15" s="13" t="n">
        <f aca="false">SUM(D15:U15)</f>
        <v>0</v>
      </c>
      <c r="W15" s="13" t="str">
        <f aca="false">IF($A15="","",VLOOKUP($B15,設定_年段時段!$A$2:$AL$7,38,0))</f>
        <v/>
      </c>
      <c r="X15" s="13" t="str">
        <f aca="false">IF($A15="","",IF($V15=$W15,"✓","⚠不符"))</f>
        <v/>
      </c>
    </row>
    <row r="16" customFormat="false" ht="15" hidden="false" customHeight="true" outlineLevel="0" collapsed="false">
      <c r="A16" s="13" t="str">
        <f aca="false">IF(班級基本資料!A16="","",班級基本資料!A16)</f>
        <v/>
      </c>
      <c r="B16" s="13" t="str">
        <f aca="false">IF(班級基本資料!A16="","",班級基本資料!B16)</f>
        <v/>
      </c>
      <c r="C16" s="13" t="str">
        <f aca="false">IF(班級基本資料!A16="","",班級基本資料!C16)</f>
        <v/>
      </c>
      <c r="D16" s="13" t="n">
        <f aca="false">IF($A16="",0,INDEX(設定_科目表!$F$2:$K$19,MATCH(D$1,設定_科目表!$B$2:$B$19,0),$B16))</f>
        <v>0</v>
      </c>
      <c r="E16" s="13" t="n">
        <f aca="false">IF($A16="",0,INDEX(設定_科目表!$F$2:$K$19,MATCH(E$1,設定_科目表!$B$2:$B$19,0),$B16))</f>
        <v>0</v>
      </c>
      <c r="F16" s="13" t="n">
        <f aca="false">IF($A16="",0,INDEX(設定_科目表!$F$2:$K$19,MATCH(F$1,設定_科目表!$B$2:$B$19,0),$B16))</f>
        <v>0</v>
      </c>
      <c r="G16" s="13" t="n">
        <f aca="false">IF($A16="",0,INDEX(設定_科目表!$F$2:$K$19,MATCH(G$1,設定_科目表!$B$2:$B$19,0),$B16))</f>
        <v>0</v>
      </c>
      <c r="H16" s="13" t="n">
        <f aca="false">IF($A16="",0,INDEX(設定_科目表!$F$2:$K$19,MATCH(H$1,設定_科目表!$B$2:$B$19,0),$B16))</f>
        <v>0</v>
      </c>
      <c r="I16" s="13" t="n">
        <f aca="false">IF($A16="",0,INDEX(設定_科目表!$F$2:$K$19,MATCH(I$1,設定_科目表!$B$2:$B$19,0),$B16))</f>
        <v>0</v>
      </c>
      <c r="J16" s="13" t="n">
        <f aca="false">IF($A16="",0,INDEX(設定_科目表!$F$2:$K$19,MATCH(J$1,設定_科目表!$B$2:$B$19,0),$B16))</f>
        <v>0</v>
      </c>
      <c r="K16" s="13" t="n">
        <f aca="false">IF($A16="",0,INDEX(設定_科目表!$F$2:$K$19,MATCH(K$1,設定_科目表!$B$2:$B$19,0),$B16))</f>
        <v>0</v>
      </c>
      <c r="L16" s="13" t="n">
        <f aca="false">IF($A16="",0,INDEX(設定_科目表!$F$2:$K$19,MATCH(L$1,設定_科目表!$B$2:$B$19,0),$B16))</f>
        <v>0</v>
      </c>
      <c r="M16" s="13" t="n">
        <f aca="false">IF($A16="",0,INDEX(設定_科目表!$F$2:$K$19,MATCH(M$1,設定_科目表!$B$2:$B$19,0),$B16))</f>
        <v>0</v>
      </c>
      <c r="N16" s="13" t="n">
        <f aca="false">IF($A16="",0,INDEX(設定_科目表!$F$2:$K$19,MATCH(N$1,設定_科目表!$B$2:$B$19,0),$B16))</f>
        <v>0</v>
      </c>
      <c r="O16" s="13" t="n">
        <f aca="false">IF($A16="",0,INDEX(設定_科目表!$F$2:$K$19,MATCH(O$1,設定_科目表!$B$2:$B$19,0),$B16))</f>
        <v>0</v>
      </c>
      <c r="P16" s="13" t="n">
        <f aca="false">IF($A16="",0,INDEX(設定_科目表!$F$2:$K$19,MATCH(P$1,設定_科目表!$B$2:$B$19,0),$B16))</f>
        <v>0</v>
      </c>
      <c r="Q16" s="13" t="n">
        <f aca="false">IF($A16="",0,INDEX(設定_科目表!$F$2:$K$19,MATCH(Q$1,設定_科目表!$B$2:$B$19,0),$B16))</f>
        <v>0</v>
      </c>
      <c r="R16" s="13" t="n">
        <f aca="false">IF($A16="",0,INDEX(設定_科目表!$F$2:$K$19,MATCH(R$1,設定_科目表!$B$2:$B$19,0),$B16))</f>
        <v>0</v>
      </c>
      <c r="S16" s="13" t="n">
        <f aca="false">IF($A16="",0,INDEX(設定_科目表!$F$2:$K$19,MATCH(S$1,設定_科目表!$B$2:$B$19,0),$B16))</f>
        <v>0</v>
      </c>
      <c r="T16" s="13" t="n">
        <f aca="false">IF($A16="",0,INDEX(設定_科目表!$F$2:$K$19,MATCH(T$1,設定_科目表!$B$2:$B$19,0),$B16))</f>
        <v>0</v>
      </c>
      <c r="U16" s="13" t="n">
        <f aca="false">IF($A16="",0,INDEX(設定_科目表!$F$2:$K$19,MATCH(U$1,設定_科目表!$B$2:$B$19,0),$B16))</f>
        <v>0</v>
      </c>
      <c r="V16" s="13" t="n">
        <f aca="false">SUM(D16:U16)</f>
        <v>0</v>
      </c>
      <c r="W16" s="13" t="str">
        <f aca="false">IF($A16="","",VLOOKUP($B16,設定_年段時段!$A$2:$AL$7,38,0))</f>
        <v/>
      </c>
      <c r="X16" s="13" t="str">
        <f aca="false">IF($A16="","",IF($V16=$W16,"✓","⚠不符"))</f>
        <v/>
      </c>
    </row>
    <row r="17" customFormat="false" ht="15" hidden="false" customHeight="true" outlineLevel="0" collapsed="false">
      <c r="A17" s="13" t="str">
        <f aca="false">IF(班級基本資料!A17="","",班級基本資料!A17)</f>
        <v/>
      </c>
      <c r="B17" s="13" t="str">
        <f aca="false">IF(班級基本資料!A17="","",班級基本資料!B17)</f>
        <v/>
      </c>
      <c r="C17" s="13" t="str">
        <f aca="false">IF(班級基本資料!A17="","",班級基本資料!C17)</f>
        <v/>
      </c>
      <c r="D17" s="13" t="n">
        <f aca="false">IF($A17="",0,INDEX(設定_科目表!$F$2:$K$19,MATCH(D$1,設定_科目表!$B$2:$B$19,0),$B17))</f>
        <v>0</v>
      </c>
      <c r="E17" s="13" t="n">
        <f aca="false">IF($A17="",0,INDEX(設定_科目表!$F$2:$K$19,MATCH(E$1,設定_科目表!$B$2:$B$19,0),$B17))</f>
        <v>0</v>
      </c>
      <c r="F17" s="13" t="n">
        <f aca="false">IF($A17="",0,INDEX(設定_科目表!$F$2:$K$19,MATCH(F$1,設定_科目表!$B$2:$B$19,0),$B17))</f>
        <v>0</v>
      </c>
      <c r="G17" s="13" t="n">
        <f aca="false">IF($A17="",0,INDEX(設定_科目表!$F$2:$K$19,MATCH(G$1,設定_科目表!$B$2:$B$19,0),$B17))</f>
        <v>0</v>
      </c>
      <c r="H17" s="13" t="n">
        <f aca="false">IF($A17="",0,INDEX(設定_科目表!$F$2:$K$19,MATCH(H$1,設定_科目表!$B$2:$B$19,0),$B17))</f>
        <v>0</v>
      </c>
      <c r="I17" s="13" t="n">
        <f aca="false">IF($A17="",0,INDEX(設定_科目表!$F$2:$K$19,MATCH(I$1,設定_科目表!$B$2:$B$19,0),$B17))</f>
        <v>0</v>
      </c>
      <c r="J17" s="13" t="n">
        <f aca="false">IF($A17="",0,INDEX(設定_科目表!$F$2:$K$19,MATCH(J$1,設定_科目表!$B$2:$B$19,0),$B17))</f>
        <v>0</v>
      </c>
      <c r="K17" s="13" t="n">
        <f aca="false">IF($A17="",0,INDEX(設定_科目表!$F$2:$K$19,MATCH(K$1,設定_科目表!$B$2:$B$19,0),$B17))</f>
        <v>0</v>
      </c>
      <c r="L17" s="13" t="n">
        <f aca="false">IF($A17="",0,INDEX(設定_科目表!$F$2:$K$19,MATCH(L$1,設定_科目表!$B$2:$B$19,0),$B17))</f>
        <v>0</v>
      </c>
      <c r="M17" s="13" t="n">
        <f aca="false">IF($A17="",0,INDEX(設定_科目表!$F$2:$K$19,MATCH(M$1,設定_科目表!$B$2:$B$19,0),$B17))</f>
        <v>0</v>
      </c>
      <c r="N17" s="13" t="n">
        <f aca="false">IF($A17="",0,INDEX(設定_科目表!$F$2:$K$19,MATCH(N$1,設定_科目表!$B$2:$B$19,0),$B17))</f>
        <v>0</v>
      </c>
      <c r="O17" s="13" t="n">
        <f aca="false">IF($A17="",0,INDEX(設定_科目表!$F$2:$K$19,MATCH(O$1,設定_科目表!$B$2:$B$19,0),$B17))</f>
        <v>0</v>
      </c>
      <c r="P17" s="13" t="n">
        <f aca="false">IF($A17="",0,INDEX(設定_科目表!$F$2:$K$19,MATCH(P$1,設定_科目表!$B$2:$B$19,0),$B17))</f>
        <v>0</v>
      </c>
      <c r="Q17" s="13" t="n">
        <f aca="false">IF($A17="",0,INDEX(設定_科目表!$F$2:$K$19,MATCH(Q$1,設定_科目表!$B$2:$B$19,0),$B17))</f>
        <v>0</v>
      </c>
      <c r="R17" s="13" t="n">
        <f aca="false">IF($A17="",0,INDEX(設定_科目表!$F$2:$K$19,MATCH(R$1,設定_科目表!$B$2:$B$19,0),$B17))</f>
        <v>0</v>
      </c>
      <c r="S17" s="13" t="n">
        <f aca="false">IF($A17="",0,INDEX(設定_科目表!$F$2:$K$19,MATCH(S$1,設定_科目表!$B$2:$B$19,0),$B17))</f>
        <v>0</v>
      </c>
      <c r="T17" s="13" t="n">
        <f aca="false">IF($A17="",0,INDEX(設定_科目表!$F$2:$K$19,MATCH(T$1,設定_科目表!$B$2:$B$19,0),$B17))</f>
        <v>0</v>
      </c>
      <c r="U17" s="13" t="n">
        <f aca="false">IF($A17="",0,INDEX(設定_科目表!$F$2:$K$19,MATCH(U$1,設定_科目表!$B$2:$B$19,0),$B17))</f>
        <v>0</v>
      </c>
      <c r="V17" s="13" t="n">
        <f aca="false">SUM(D17:U17)</f>
        <v>0</v>
      </c>
      <c r="W17" s="13" t="str">
        <f aca="false">IF($A17="","",VLOOKUP($B17,設定_年段時段!$A$2:$AL$7,38,0))</f>
        <v/>
      </c>
      <c r="X17" s="13" t="str">
        <f aca="false">IF($A17="","",IF($V17=$W17,"✓","⚠不符"))</f>
        <v/>
      </c>
    </row>
    <row r="18" customFormat="false" ht="15" hidden="false" customHeight="true" outlineLevel="0" collapsed="false">
      <c r="A18" s="13" t="str">
        <f aca="false">IF(班級基本資料!A18="","",班級基本資料!A18)</f>
        <v/>
      </c>
      <c r="B18" s="13" t="str">
        <f aca="false">IF(班級基本資料!A18="","",班級基本資料!B18)</f>
        <v/>
      </c>
      <c r="C18" s="13" t="str">
        <f aca="false">IF(班級基本資料!A18="","",班級基本資料!C18)</f>
        <v/>
      </c>
      <c r="D18" s="13" t="n">
        <f aca="false">IF($A18="",0,INDEX(設定_科目表!$F$2:$K$19,MATCH(D$1,設定_科目表!$B$2:$B$19,0),$B18))</f>
        <v>0</v>
      </c>
      <c r="E18" s="13" t="n">
        <f aca="false">IF($A18="",0,INDEX(設定_科目表!$F$2:$K$19,MATCH(E$1,設定_科目表!$B$2:$B$19,0),$B18))</f>
        <v>0</v>
      </c>
      <c r="F18" s="13" t="n">
        <f aca="false">IF($A18="",0,INDEX(設定_科目表!$F$2:$K$19,MATCH(F$1,設定_科目表!$B$2:$B$19,0),$B18))</f>
        <v>0</v>
      </c>
      <c r="G18" s="13" t="n">
        <f aca="false">IF($A18="",0,INDEX(設定_科目表!$F$2:$K$19,MATCH(G$1,設定_科目表!$B$2:$B$19,0),$B18))</f>
        <v>0</v>
      </c>
      <c r="H18" s="13" t="n">
        <f aca="false">IF($A18="",0,INDEX(設定_科目表!$F$2:$K$19,MATCH(H$1,設定_科目表!$B$2:$B$19,0),$B18))</f>
        <v>0</v>
      </c>
      <c r="I18" s="13" t="n">
        <f aca="false">IF($A18="",0,INDEX(設定_科目表!$F$2:$K$19,MATCH(I$1,設定_科目表!$B$2:$B$19,0),$B18))</f>
        <v>0</v>
      </c>
      <c r="J18" s="13" t="n">
        <f aca="false">IF($A18="",0,INDEX(設定_科目表!$F$2:$K$19,MATCH(J$1,設定_科目表!$B$2:$B$19,0),$B18))</f>
        <v>0</v>
      </c>
      <c r="K18" s="13" t="n">
        <f aca="false">IF($A18="",0,INDEX(設定_科目表!$F$2:$K$19,MATCH(K$1,設定_科目表!$B$2:$B$19,0),$B18))</f>
        <v>0</v>
      </c>
      <c r="L18" s="13" t="n">
        <f aca="false">IF($A18="",0,INDEX(設定_科目表!$F$2:$K$19,MATCH(L$1,設定_科目表!$B$2:$B$19,0),$B18))</f>
        <v>0</v>
      </c>
      <c r="M18" s="13" t="n">
        <f aca="false">IF($A18="",0,INDEX(設定_科目表!$F$2:$K$19,MATCH(M$1,設定_科目表!$B$2:$B$19,0),$B18))</f>
        <v>0</v>
      </c>
      <c r="N18" s="13" t="n">
        <f aca="false">IF($A18="",0,INDEX(設定_科目表!$F$2:$K$19,MATCH(N$1,設定_科目表!$B$2:$B$19,0),$B18))</f>
        <v>0</v>
      </c>
      <c r="O18" s="13" t="n">
        <f aca="false">IF($A18="",0,INDEX(設定_科目表!$F$2:$K$19,MATCH(O$1,設定_科目表!$B$2:$B$19,0),$B18))</f>
        <v>0</v>
      </c>
      <c r="P18" s="13" t="n">
        <f aca="false">IF($A18="",0,INDEX(設定_科目表!$F$2:$K$19,MATCH(P$1,設定_科目表!$B$2:$B$19,0),$B18))</f>
        <v>0</v>
      </c>
      <c r="Q18" s="13" t="n">
        <f aca="false">IF($A18="",0,INDEX(設定_科目表!$F$2:$K$19,MATCH(Q$1,設定_科目表!$B$2:$B$19,0),$B18))</f>
        <v>0</v>
      </c>
      <c r="R18" s="13" t="n">
        <f aca="false">IF($A18="",0,INDEX(設定_科目表!$F$2:$K$19,MATCH(R$1,設定_科目表!$B$2:$B$19,0),$B18))</f>
        <v>0</v>
      </c>
      <c r="S18" s="13" t="n">
        <f aca="false">IF($A18="",0,INDEX(設定_科目表!$F$2:$K$19,MATCH(S$1,設定_科目表!$B$2:$B$19,0),$B18))</f>
        <v>0</v>
      </c>
      <c r="T18" s="13" t="n">
        <f aca="false">IF($A18="",0,INDEX(設定_科目表!$F$2:$K$19,MATCH(T$1,設定_科目表!$B$2:$B$19,0),$B18))</f>
        <v>0</v>
      </c>
      <c r="U18" s="13" t="n">
        <f aca="false">IF($A18="",0,INDEX(設定_科目表!$F$2:$K$19,MATCH(U$1,設定_科目表!$B$2:$B$19,0),$B18))</f>
        <v>0</v>
      </c>
      <c r="V18" s="13" t="n">
        <f aca="false">SUM(D18:U18)</f>
        <v>0</v>
      </c>
      <c r="W18" s="13" t="str">
        <f aca="false">IF($A18="","",VLOOKUP($B18,設定_年段時段!$A$2:$AL$7,38,0))</f>
        <v/>
      </c>
      <c r="X18" s="13" t="str">
        <f aca="false">IF($A18="","",IF($V18=$W18,"✓","⚠不符"))</f>
        <v/>
      </c>
    </row>
    <row r="19" customFormat="false" ht="15" hidden="false" customHeight="true" outlineLevel="0" collapsed="false">
      <c r="A19" s="13" t="str">
        <f aca="false">IF(班級基本資料!A19="","",班級基本資料!A19)</f>
        <v/>
      </c>
      <c r="B19" s="13" t="str">
        <f aca="false">IF(班級基本資料!A19="","",班級基本資料!B19)</f>
        <v/>
      </c>
      <c r="C19" s="13" t="str">
        <f aca="false">IF(班級基本資料!A19="","",班級基本資料!C19)</f>
        <v/>
      </c>
      <c r="D19" s="13" t="n">
        <f aca="false">IF($A19="",0,INDEX(設定_科目表!$F$2:$K$19,MATCH(D$1,設定_科目表!$B$2:$B$19,0),$B19))</f>
        <v>0</v>
      </c>
      <c r="E19" s="13" t="n">
        <f aca="false">IF($A19="",0,INDEX(設定_科目表!$F$2:$K$19,MATCH(E$1,設定_科目表!$B$2:$B$19,0),$B19))</f>
        <v>0</v>
      </c>
      <c r="F19" s="13" t="n">
        <f aca="false">IF($A19="",0,INDEX(設定_科目表!$F$2:$K$19,MATCH(F$1,設定_科目表!$B$2:$B$19,0),$B19))</f>
        <v>0</v>
      </c>
      <c r="G19" s="13" t="n">
        <f aca="false">IF($A19="",0,INDEX(設定_科目表!$F$2:$K$19,MATCH(G$1,設定_科目表!$B$2:$B$19,0),$B19))</f>
        <v>0</v>
      </c>
      <c r="H19" s="13" t="n">
        <f aca="false">IF($A19="",0,INDEX(設定_科目表!$F$2:$K$19,MATCH(H$1,設定_科目表!$B$2:$B$19,0),$B19))</f>
        <v>0</v>
      </c>
      <c r="I19" s="13" t="n">
        <f aca="false">IF($A19="",0,INDEX(設定_科目表!$F$2:$K$19,MATCH(I$1,設定_科目表!$B$2:$B$19,0),$B19))</f>
        <v>0</v>
      </c>
      <c r="J19" s="13" t="n">
        <f aca="false">IF($A19="",0,INDEX(設定_科目表!$F$2:$K$19,MATCH(J$1,設定_科目表!$B$2:$B$19,0),$B19))</f>
        <v>0</v>
      </c>
      <c r="K19" s="13" t="n">
        <f aca="false">IF($A19="",0,INDEX(設定_科目表!$F$2:$K$19,MATCH(K$1,設定_科目表!$B$2:$B$19,0),$B19))</f>
        <v>0</v>
      </c>
      <c r="L19" s="13" t="n">
        <f aca="false">IF($A19="",0,INDEX(設定_科目表!$F$2:$K$19,MATCH(L$1,設定_科目表!$B$2:$B$19,0),$B19))</f>
        <v>0</v>
      </c>
      <c r="M19" s="13" t="n">
        <f aca="false">IF($A19="",0,INDEX(設定_科目表!$F$2:$K$19,MATCH(M$1,設定_科目表!$B$2:$B$19,0),$B19))</f>
        <v>0</v>
      </c>
      <c r="N19" s="13" t="n">
        <f aca="false">IF($A19="",0,INDEX(設定_科目表!$F$2:$K$19,MATCH(N$1,設定_科目表!$B$2:$B$19,0),$B19))</f>
        <v>0</v>
      </c>
      <c r="O19" s="13" t="n">
        <f aca="false">IF($A19="",0,INDEX(設定_科目表!$F$2:$K$19,MATCH(O$1,設定_科目表!$B$2:$B$19,0),$B19))</f>
        <v>0</v>
      </c>
      <c r="P19" s="13" t="n">
        <f aca="false">IF($A19="",0,INDEX(設定_科目表!$F$2:$K$19,MATCH(P$1,設定_科目表!$B$2:$B$19,0),$B19))</f>
        <v>0</v>
      </c>
      <c r="Q19" s="13" t="n">
        <f aca="false">IF($A19="",0,INDEX(設定_科目表!$F$2:$K$19,MATCH(Q$1,設定_科目表!$B$2:$B$19,0),$B19))</f>
        <v>0</v>
      </c>
      <c r="R19" s="13" t="n">
        <f aca="false">IF($A19="",0,INDEX(設定_科目表!$F$2:$K$19,MATCH(R$1,設定_科目表!$B$2:$B$19,0),$B19))</f>
        <v>0</v>
      </c>
      <c r="S19" s="13" t="n">
        <f aca="false">IF($A19="",0,INDEX(設定_科目表!$F$2:$K$19,MATCH(S$1,設定_科目表!$B$2:$B$19,0),$B19))</f>
        <v>0</v>
      </c>
      <c r="T19" s="13" t="n">
        <f aca="false">IF($A19="",0,INDEX(設定_科目表!$F$2:$K$19,MATCH(T$1,設定_科目表!$B$2:$B$19,0),$B19))</f>
        <v>0</v>
      </c>
      <c r="U19" s="13" t="n">
        <f aca="false">IF($A19="",0,INDEX(設定_科目表!$F$2:$K$19,MATCH(U$1,設定_科目表!$B$2:$B$19,0),$B19))</f>
        <v>0</v>
      </c>
      <c r="V19" s="13" t="n">
        <f aca="false">SUM(D19:U19)</f>
        <v>0</v>
      </c>
      <c r="W19" s="13" t="str">
        <f aca="false">IF($A19="","",VLOOKUP($B19,設定_年段時段!$A$2:$AL$7,38,0))</f>
        <v/>
      </c>
      <c r="X19" s="13" t="str">
        <f aca="false">IF($A19="","",IF($V19=$W19,"✓","⚠不符"))</f>
        <v/>
      </c>
    </row>
    <row r="20" customFormat="false" ht="15" hidden="false" customHeight="true" outlineLevel="0" collapsed="false">
      <c r="A20" s="13" t="str">
        <f aca="false">IF(班級基本資料!A20="","",班級基本資料!A20)</f>
        <v/>
      </c>
      <c r="B20" s="13" t="str">
        <f aca="false">IF(班級基本資料!A20="","",班級基本資料!B20)</f>
        <v/>
      </c>
      <c r="C20" s="13" t="str">
        <f aca="false">IF(班級基本資料!A20="","",班級基本資料!C20)</f>
        <v/>
      </c>
      <c r="D20" s="13" t="n">
        <f aca="false">IF($A20="",0,INDEX(設定_科目表!$F$2:$K$19,MATCH(D$1,設定_科目表!$B$2:$B$19,0),$B20))</f>
        <v>0</v>
      </c>
      <c r="E20" s="13" t="n">
        <f aca="false">IF($A20="",0,INDEX(設定_科目表!$F$2:$K$19,MATCH(E$1,設定_科目表!$B$2:$B$19,0),$B20))</f>
        <v>0</v>
      </c>
      <c r="F20" s="13" t="n">
        <f aca="false">IF($A20="",0,INDEX(設定_科目表!$F$2:$K$19,MATCH(F$1,設定_科目表!$B$2:$B$19,0),$B20))</f>
        <v>0</v>
      </c>
      <c r="G20" s="13" t="n">
        <f aca="false">IF($A20="",0,INDEX(設定_科目表!$F$2:$K$19,MATCH(G$1,設定_科目表!$B$2:$B$19,0),$B20))</f>
        <v>0</v>
      </c>
      <c r="H20" s="13" t="n">
        <f aca="false">IF($A20="",0,INDEX(設定_科目表!$F$2:$K$19,MATCH(H$1,設定_科目表!$B$2:$B$19,0),$B20))</f>
        <v>0</v>
      </c>
      <c r="I20" s="13" t="n">
        <f aca="false">IF($A20="",0,INDEX(設定_科目表!$F$2:$K$19,MATCH(I$1,設定_科目表!$B$2:$B$19,0),$B20))</f>
        <v>0</v>
      </c>
      <c r="J20" s="13" t="n">
        <f aca="false">IF($A20="",0,INDEX(設定_科目表!$F$2:$K$19,MATCH(J$1,設定_科目表!$B$2:$B$19,0),$B20))</f>
        <v>0</v>
      </c>
      <c r="K20" s="13" t="n">
        <f aca="false">IF($A20="",0,INDEX(設定_科目表!$F$2:$K$19,MATCH(K$1,設定_科目表!$B$2:$B$19,0),$B20))</f>
        <v>0</v>
      </c>
      <c r="L20" s="13" t="n">
        <f aca="false">IF($A20="",0,INDEX(設定_科目表!$F$2:$K$19,MATCH(L$1,設定_科目表!$B$2:$B$19,0),$B20))</f>
        <v>0</v>
      </c>
      <c r="M20" s="13" t="n">
        <f aca="false">IF($A20="",0,INDEX(設定_科目表!$F$2:$K$19,MATCH(M$1,設定_科目表!$B$2:$B$19,0),$B20))</f>
        <v>0</v>
      </c>
      <c r="N20" s="13" t="n">
        <f aca="false">IF($A20="",0,INDEX(設定_科目表!$F$2:$K$19,MATCH(N$1,設定_科目表!$B$2:$B$19,0),$B20))</f>
        <v>0</v>
      </c>
      <c r="O20" s="13" t="n">
        <f aca="false">IF($A20="",0,INDEX(設定_科目表!$F$2:$K$19,MATCH(O$1,設定_科目表!$B$2:$B$19,0),$B20))</f>
        <v>0</v>
      </c>
      <c r="P20" s="13" t="n">
        <f aca="false">IF($A20="",0,INDEX(設定_科目表!$F$2:$K$19,MATCH(P$1,設定_科目表!$B$2:$B$19,0),$B20))</f>
        <v>0</v>
      </c>
      <c r="Q20" s="13" t="n">
        <f aca="false">IF($A20="",0,INDEX(設定_科目表!$F$2:$K$19,MATCH(Q$1,設定_科目表!$B$2:$B$19,0),$B20))</f>
        <v>0</v>
      </c>
      <c r="R20" s="13" t="n">
        <f aca="false">IF($A20="",0,INDEX(設定_科目表!$F$2:$K$19,MATCH(R$1,設定_科目表!$B$2:$B$19,0),$B20))</f>
        <v>0</v>
      </c>
      <c r="S20" s="13" t="n">
        <f aca="false">IF($A20="",0,INDEX(設定_科目表!$F$2:$K$19,MATCH(S$1,設定_科目表!$B$2:$B$19,0),$B20))</f>
        <v>0</v>
      </c>
      <c r="T20" s="13" t="n">
        <f aca="false">IF($A20="",0,INDEX(設定_科目表!$F$2:$K$19,MATCH(T$1,設定_科目表!$B$2:$B$19,0),$B20))</f>
        <v>0</v>
      </c>
      <c r="U20" s="13" t="n">
        <f aca="false">IF($A20="",0,INDEX(設定_科目表!$F$2:$K$19,MATCH(U$1,設定_科目表!$B$2:$B$19,0),$B20))</f>
        <v>0</v>
      </c>
      <c r="V20" s="13" t="n">
        <f aca="false">SUM(D20:U20)</f>
        <v>0</v>
      </c>
      <c r="W20" s="13" t="str">
        <f aca="false">IF($A20="","",VLOOKUP($B20,設定_年段時段!$A$2:$AL$7,38,0))</f>
        <v/>
      </c>
      <c r="X20" s="13" t="str">
        <f aca="false">IF($A20="","",IF($V20=$W20,"✓","⚠不符"))</f>
        <v/>
      </c>
    </row>
    <row r="21" customFormat="false" ht="15" hidden="false" customHeight="true" outlineLevel="0" collapsed="false">
      <c r="A21" s="13" t="str">
        <f aca="false">IF(班級基本資料!A21="","",班級基本資料!A21)</f>
        <v/>
      </c>
      <c r="B21" s="13" t="str">
        <f aca="false">IF(班級基本資料!A21="","",班級基本資料!B21)</f>
        <v/>
      </c>
      <c r="C21" s="13" t="str">
        <f aca="false">IF(班級基本資料!A21="","",班級基本資料!C21)</f>
        <v/>
      </c>
      <c r="D21" s="13" t="n">
        <f aca="false">IF($A21="",0,INDEX(設定_科目表!$F$2:$K$19,MATCH(D$1,設定_科目表!$B$2:$B$19,0),$B21))</f>
        <v>0</v>
      </c>
      <c r="E21" s="13" t="n">
        <f aca="false">IF($A21="",0,INDEX(設定_科目表!$F$2:$K$19,MATCH(E$1,設定_科目表!$B$2:$B$19,0),$B21))</f>
        <v>0</v>
      </c>
      <c r="F21" s="13" t="n">
        <f aca="false">IF($A21="",0,INDEX(設定_科目表!$F$2:$K$19,MATCH(F$1,設定_科目表!$B$2:$B$19,0),$B21))</f>
        <v>0</v>
      </c>
      <c r="G21" s="13" t="n">
        <f aca="false">IF($A21="",0,INDEX(設定_科目表!$F$2:$K$19,MATCH(G$1,設定_科目表!$B$2:$B$19,0),$B21))</f>
        <v>0</v>
      </c>
      <c r="H21" s="13" t="n">
        <f aca="false">IF($A21="",0,INDEX(設定_科目表!$F$2:$K$19,MATCH(H$1,設定_科目表!$B$2:$B$19,0),$B21))</f>
        <v>0</v>
      </c>
      <c r="I21" s="13" t="n">
        <f aca="false">IF($A21="",0,INDEX(設定_科目表!$F$2:$K$19,MATCH(I$1,設定_科目表!$B$2:$B$19,0),$B21))</f>
        <v>0</v>
      </c>
      <c r="J21" s="13" t="n">
        <f aca="false">IF($A21="",0,INDEX(設定_科目表!$F$2:$K$19,MATCH(J$1,設定_科目表!$B$2:$B$19,0),$B21))</f>
        <v>0</v>
      </c>
      <c r="K21" s="13" t="n">
        <f aca="false">IF($A21="",0,INDEX(設定_科目表!$F$2:$K$19,MATCH(K$1,設定_科目表!$B$2:$B$19,0),$B21))</f>
        <v>0</v>
      </c>
      <c r="L21" s="13" t="n">
        <f aca="false">IF($A21="",0,INDEX(設定_科目表!$F$2:$K$19,MATCH(L$1,設定_科目表!$B$2:$B$19,0),$B21))</f>
        <v>0</v>
      </c>
      <c r="M21" s="13" t="n">
        <f aca="false">IF($A21="",0,INDEX(設定_科目表!$F$2:$K$19,MATCH(M$1,設定_科目表!$B$2:$B$19,0),$B21))</f>
        <v>0</v>
      </c>
      <c r="N21" s="13" t="n">
        <f aca="false">IF($A21="",0,INDEX(設定_科目表!$F$2:$K$19,MATCH(N$1,設定_科目表!$B$2:$B$19,0),$B21))</f>
        <v>0</v>
      </c>
      <c r="O21" s="13" t="n">
        <f aca="false">IF($A21="",0,INDEX(設定_科目表!$F$2:$K$19,MATCH(O$1,設定_科目表!$B$2:$B$19,0),$B21))</f>
        <v>0</v>
      </c>
      <c r="P21" s="13" t="n">
        <f aca="false">IF($A21="",0,INDEX(設定_科目表!$F$2:$K$19,MATCH(P$1,設定_科目表!$B$2:$B$19,0),$B21))</f>
        <v>0</v>
      </c>
      <c r="Q21" s="13" t="n">
        <f aca="false">IF($A21="",0,INDEX(設定_科目表!$F$2:$K$19,MATCH(Q$1,設定_科目表!$B$2:$B$19,0),$B21))</f>
        <v>0</v>
      </c>
      <c r="R21" s="13" t="n">
        <f aca="false">IF($A21="",0,INDEX(設定_科目表!$F$2:$K$19,MATCH(R$1,設定_科目表!$B$2:$B$19,0),$B21))</f>
        <v>0</v>
      </c>
      <c r="S21" s="13" t="n">
        <f aca="false">IF($A21="",0,INDEX(設定_科目表!$F$2:$K$19,MATCH(S$1,設定_科目表!$B$2:$B$19,0),$B21))</f>
        <v>0</v>
      </c>
      <c r="T21" s="13" t="n">
        <f aca="false">IF($A21="",0,INDEX(設定_科目表!$F$2:$K$19,MATCH(T$1,設定_科目表!$B$2:$B$19,0),$B21))</f>
        <v>0</v>
      </c>
      <c r="U21" s="13" t="n">
        <f aca="false">IF($A21="",0,INDEX(設定_科目表!$F$2:$K$19,MATCH(U$1,設定_科目表!$B$2:$B$19,0),$B21))</f>
        <v>0</v>
      </c>
      <c r="V21" s="13" t="n">
        <f aca="false">SUM(D21:U21)</f>
        <v>0</v>
      </c>
      <c r="W21" s="13" t="str">
        <f aca="false">IF($A21="","",VLOOKUP($B21,設定_年段時段!$A$2:$AL$7,38,0))</f>
        <v/>
      </c>
      <c r="X21" s="13" t="str">
        <f aca="false">IF($A21="","",IF($V21=$W21,"✓","⚠不符"))</f>
        <v/>
      </c>
    </row>
    <row r="22" customFormat="false" ht="15" hidden="false" customHeight="true" outlineLevel="0" collapsed="false">
      <c r="A22" s="13" t="str">
        <f aca="false">IF(班級基本資料!A22="","",班級基本資料!A22)</f>
        <v/>
      </c>
      <c r="B22" s="13" t="str">
        <f aca="false">IF(班級基本資料!A22="","",班級基本資料!B22)</f>
        <v/>
      </c>
      <c r="C22" s="13" t="str">
        <f aca="false">IF(班級基本資料!A22="","",班級基本資料!C22)</f>
        <v/>
      </c>
      <c r="D22" s="13" t="n">
        <f aca="false">IF($A22="",0,INDEX(設定_科目表!$F$2:$K$19,MATCH(D$1,設定_科目表!$B$2:$B$19,0),$B22))</f>
        <v>0</v>
      </c>
      <c r="E22" s="13" t="n">
        <f aca="false">IF($A22="",0,INDEX(設定_科目表!$F$2:$K$19,MATCH(E$1,設定_科目表!$B$2:$B$19,0),$B22))</f>
        <v>0</v>
      </c>
      <c r="F22" s="13" t="n">
        <f aca="false">IF($A22="",0,INDEX(設定_科目表!$F$2:$K$19,MATCH(F$1,設定_科目表!$B$2:$B$19,0),$B22))</f>
        <v>0</v>
      </c>
      <c r="G22" s="13" t="n">
        <f aca="false">IF($A22="",0,INDEX(設定_科目表!$F$2:$K$19,MATCH(G$1,設定_科目表!$B$2:$B$19,0),$B22))</f>
        <v>0</v>
      </c>
      <c r="H22" s="13" t="n">
        <f aca="false">IF($A22="",0,INDEX(設定_科目表!$F$2:$K$19,MATCH(H$1,設定_科目表!$B$2:$B$19,0),$B22))</f>
        <v>0</v>
      </c>
      <c r="I22" s="13" t="n">
        <f aca="false">IF($A22="",0,INDEX(設定_科目表!$F$2:$K$19,MATCH(I$1,設定_科目表!$B$2:$B$19,0),$B22))</f>
        <v>0</v>
      </c>
      <c r="J22" s="13" t="n">
        <f aca="false">IF($A22="",0,INDEX(設定_科目表!$F$2:$K$19,MATCH(J$1,設定_科目表!$B$2:$B$19,0),$B22))</f>
        <v>0</v>
      </c>
      <c r="K22" s="13" t="n">
        <f aca="false">IF($A22="",0,INDEX(設定_科目表!$F$2:$K$19,MATCH(K$1,設定_科目表!$B$2:$B$19,0),$B22))</f>
        <v>0</v>
      </c>
      <c r="L22" s="13" t="n">
        <f aca="false">IF($A22="",0,INDEX(設定_科目表!$F$2:$K$19,MATCH(L$1,設定_科目表!$B$2:$B$19,0),$B22))</f>
        <v>0</v>
      </c>
      <c r="M22" s="13" t="n">
        <f aca="false">IF($A22="",0,INDEX(設定_科目表!$F$2:$K$19,MATCH(M$1,設定_科目表!$B$2:$B$19,0),$B22))</f>
        <v>0</v>
      </c>
      <c r="N22" s="13" t="n">
        <f aca="false">IF($A22="",0,INDEX(設定_科目表!$F$2:$K$19,MATCH(N$1,設定_科目表!$B$2:$B$19,0),$B22))</f>
        <v>0</v>
      </c>
      <c r="O22" s="13" t="n">
        <f aca="false">IF($A22="",0,INDEX(設定_科目表!$F$2:$K$19,MATCH(O$1,設定_科目表!$B$2:$B$19,0),$B22))</f>
        <v>0</v>
      </c>
      <c r="P22" s="13" t="n">
        <f aca="false">IF($A22="",0,INDEX(設定_科目表!$F$2:$K$19,MATCH(P$1,設定_科目表!$B$2:$B$19,0),$B22))</f>
        <v>0</v>
      </c>
      <c r="Q22" s="13" t="n">
        <f aca="false">IF($A22="",0,INDEX(設定_科目表!$F$2:$K$19,MATCH(Q$1,設定_科目表!$B$2:$B$19,0),$B22))</f>
        <v>0</v>
      </c>
      <c r="R22" s="13" t="n">
        <f aca="false">IF($A22="",0,INDEX(設定_科目表!$F$2:$K$19,MATCH(R$1,設定_科目表!$B$2:$B$19,0),$B22))</f>
        <v>0</v>
      </c>
      <c r="S22" s="13" t="n">
        <f aca="false">IF($A22="",0,INDEX(設定_科目表!$F$2:$K$19,MATCH(S$1,設定_科目表!$B$2:$B$19,0),$B22))</f>
        <v>0</v>
      </c>
      <c r="T22" s="13" t="n">
        <f aca="false">IF($A22="",0,INDEX(設定_科目表!$F$2:$K$19,MATCH(T$1,設定_科目表!$B$2:$B$19,0),$B22))</f>
        <v>0</v>
      </c>
      <c r="U22" s="13" t="n">
        <f aca="false">IF($A22="",0,INDEX(設定_科目表!$F$2:$K$19,MATCH(U$1,設定_科目表!$B$2:$B$19,0),$B22))</f>
        <v>0</v>
      </c>
      <c r="V22" s="13" t="n">
        <f aca="false">SUM(D22:U22)</f>
        <v>0</v>
      </c>
      <c r="W22" s="13" t="str">
        <f aca="false">IF($A22="","",VLOOKUP($B22,設定_年段時段!$A$2:$AL$7,38,0))</f>
        <v/>
      </c>
      <c r="X22" s="13" t="str">
        <f aca="false">IF($A22="","",IF($V22=$W22,"✓","⚠不符"))</f>
        <v/>
      </c>
    </row>
    <row r="23" customFormat="false" ht="15" hidden="false" customHeight="true" outlineLevel="0" collapsed="false">
      <c r="A23" s="13" t="str">
        <f aca="false">IF(班級基本資料!A23="","",班級基本資料!A23)</f>
        <v/>
      </c>
      <c r="B23" s="13" t="str">
        <f aca="false">IF(班級基本資料!A23="","",班級基本資料!B23)</f>
        <v/>
      </c>
      <c r="C23" s="13" t="str">
        <f aca="false">IF(班級基本資料!A23="","",班級基本資料!C23)</f>
        <v/>
      </c>
      <c r="D23" s="13" t="n">
        <f aca="false">IF($A23="",0,INDEX(設定_科目表!$F$2:$K$19,MATCH(D$1,設定_科目表!$B$2:$B$19,0),$B23))</f>
        <v>0</v>
      </c>
      <c r="E23" s="13" t="n">
        <f aca="false">IF($A23="",0,INDEX(設定_科目表!$F$2:$K$19,MATCH(E$1,設定_科目表!$B$2:$B$19,0),$B23))</f>
        <v>0</v>
      </c>
      <c r="F23" s="13" t="n">
        <f aca="false">IF($A23="",0,INDEX(設定_科目表!$F$2:$K$19,MATCH(F$1,設定_科目表!$B$2:$B$19,0),$B23))</f>
        <v>0</v>
      </c>
      <c r="G23" s="13" t="n">
        <f aca="false">IF($A23="",0,INDEX(設定_科目表!$F$2:$K$19,MATCH(G$1,設定_科目表!$B$2:$B$19,0),$B23))</f>
        <v>0</v>
      </c>
      <c r="H23" s="13" t="n">
        <f aca="false">IF($A23="",0,INDEX(設定_科目表!$F$2:$K$19,MATCH(H$1,設定_科目表!$B$2:$B$19,0),$B23))</f>
        <v>0</v>
      </c>
      <c r="I23" s="13" t="n">
        <f aca="false">IF($A23="",0,INDEX(設定_科目表!$F$2:$K$19,MATCH(I$1,設定_科目表!$B$2:$B$19,0),$B23))</f>
        <v>0</v>
      </c>
      <c r="J23" s="13" t="n">
        <f aca="false">IF($A23="",0,INDEX(設定_科目表!$F$2:$K$19,MATCH(J$1,設定_科目表!$B$2:$B$19,0),$B23))</f>
        <v>0</v>
      </c>
      <c r="K23" s="13" t="n">
        <f aca="false">IF($A23="",0,INDEX(設定_科目表!$F$2:$K$19,MATCH(K$1,設定_科目表!$B$2:$B$19,0),$B23))</f>
        <v>0</v>
      </c>
      <c r="L23" s="13" t="n">
        <f aca="false">IF($A23="",0,INDEX(設定_科目表!$F$2:$K$19,MATCH(L$1,設定_科目表!$B$2:$B$19,0),$B23))</f>
        <v>0</v>
      </c>
      <c r="M23" s="13" t="n">
        <f aca="false">IF($A23="",0,INDEX(設定_科目表!$F$2:$K$19,MATCH(M$1,設定_科目表!$B$2:$B$19,0),$B23))</f>
        <v>0</v>
      </c>
      <c r="N23" s="13" t="n">
        <f aca="false">IF($A23="",0,INDEX(設定_科目表!$F$2:$K$19,MATCH(N$1,設定_科目表!$B$2:$B$19,0),$B23))</f>
        <v>0</v>
      </c>
      <c r="O23" s="13" t="n">
        <f aca="false">IF($A23="",0,INDEX(設定_科目表!$F$2:$K$19,MATCH(O$1,設定_科目表!$B$2:$B$19,0),$B23))</f>
        <v>0</v>
      </c>
      <c r="P23" s="13" t="n">
        <f aca="false">IF($A23="",0,INDEX(設定_科目表!$F$2:$K$19,MATCH(P$1,設定_科目表!$B$2:$B$19,0),$B23))</f>
        <v>0</v>
      </c>
      <c r="Q23" s="13" t="n">
        <f aca="false">IF($A23="",0,INDEX(設定_科目表!$F$2:$K$19,MATCH(Q$1,設定_科目表!$B$2:$B$19,0),$B23))</f>
        <v>0</v>
      </c>
      <c r="R23" s="13" t="n">
        <f aca="false">IF($A23="",0,INDEX(設定_科目表!$F$2:$K$19,MATCH(R$1,設定_科目表!$B$2:$B$19,0),$B23))</f>
        <v>0</v>
      </c>
      <c r="S23" s="13" t="n">
        <f aca="false">IF($A23="",0,INDEX(設定_科目表!$F$2:$K$19,MATCH(S$1,設定_科目表!$B$2:$B$19,0),$B23))</f>
        <v>0</v>
      </c>
      <c r="T23" s="13" t="n">
        <f aca="false">IF($A23="",0,INDEX(設定_科目表!$F$2:$K$19,MATCH(T$1,設定_科目表!$B$2:$B$19,0),$B23))</f>
        <v>0</v>
      </c>
      <c r="U23" s="13" t="n">
        <f aca="false">IF($A23="",0,INDEX(設定_科目表!$F$2:$K$19,MATCH(U$1,設定_科目表!$B$2:$B$19,0),$B23))</f>
        <v>0</v>
      </c>
      <c r="V23" s="13" t="n">
        <f aca="false">SUM(D23:U23)</f>
        <v>0</v>
      </c>
      <c r="W23" s="13" t="str">
        <f aca="false">IF($A23="","",VLOOKUP($B23,設定_年段時段!$A$2:$AL$7,38,0))</f>
        <v/>
      </c>
      <c r="X23" s="13" t="str">
        <f aca="false">IF($A23="","",IF($V23=$W23,"✓","⚠不符"))</f>
        <v/>
      </c>
    </row>
    <row r="24" customFormat="false" ht="15" hidden="false" customHeight="true" outlineLevel="0" collapsed="false">
      <c r="A24" s="13" t="str">
        <f aca="false">IF(班級基本資料!A24="","",班級基本資料!A24)</f>
        <v/>
      </c>
      <c r="B24" s="13" t="str">
        <f aca="false">IF(班級基本資料!A24="","",班級基本資料!B24)</f>
        <v/>
      </c>
      <c r="C24" s="13" t="str">
        <f aca="false">IF(班級基本資料!A24="","",班級基本資料!C24)</f>
        <v/>
      </c>
      <c r="D24" s="13" t="n">
        <f aca="false">IF($A24="",0,INDEX(設定_科目表!$F$2:$K$19,MATCH(D$1,設定_科目表!$B$2:$B$19,0),$B24))</f>
        <v>0</v>
      </c>
      <c r="E24" s="13" t="n">
        <f aca="false">IF($A24="",0,INDEX(設定_科目表!$F$2:$K$19,MATCH(E$1,設定_科目表!$B$2:$B$19,0),$B24))</f>
        <v>0</v>
      </c>
      <c r="F24" s="13" t="n">
        <f aca="false">IF($A24="",0,INDEX(設定_科目表!$F$2:$K$19,MATCH(F$1,設定_科目表!$B$2:$B$19,0),$B24))</f>
        <v>0</v>
      </c>
      <c r="G24" s="13" t="n">
        <f aca="false">IF($A24="",0,INDEX(設定_科目表!$F$2:$K$19,MATCH(G$1,設定_科目表!$B$2:$B$19,0),$B24))</f>
        <v>0</v>
      </c>
      <c r="H24" s="13" t="n">
        <f aca="false">IF($A24="",0,INDEX(設定_科目表!$F$2:$K$19,MATCH(H$1,設定_科目表!$B$2:$B$19,0),$B24))</f>
        <v>0</v>
      </c>
      <c r="I24" s="13" t="n">
        <f aca="false">IF($A24="",0,INDEX(設定_科目表!$F$2:$K$19,MATCH(I$1,設定_科目表!$B$2:$B$19,0),$B24))</f>
        <v>0</v>
      </c>
      <c r="J24" s="13" t="n">
        <f aca="false">IF($A24="",0,INDEX(設定_科目表!$F$2:$K$19,MATCH(J$1,設定_科目表!$B$2:$B$19,0),$B24))</f>
        <v>0</v>
      </c>
      <c r="K24" s="13" t="n">
        <f aca="false">IF($A24="",0,INDEX(設定_科目表!$F$2:$K$19,MATCH(K$1,設定_科目表!$B$2:$B$19,0),$B24))</f>
        <v>0</v>
      </c>
      <c r="L24" s="13" t="n">
        <f aca="false">IF($A24="",0,INDEX(設定_科目表!$F$2:$K$19,MATCH(L$1,設定_科目表!$B$2:$B$19,0),$B24))</f>
        <v>0</v>
      </c>
      <c r="M24" s="13" t="n">
        <f aca="false">IF($A24="",0,INDEX(設定_科目表!$F$2:$K$19,MATCH(M$1,設定_科目表!$B$2:$B$19,0),$B24))</f>
        <v>0</v>
      </c>
      <c r="N24" s="13" t="n">
        <f aca="false">IF($A24="",0,INDEX(設定_科目表!$F$2:$K$19,MATCH(N$1,設定_科目表!$B$2:$B$19,0),$B24))</f>
        <v>0</v>
      </c>
      <c r="O24" s="13" t="n">
        <f aca="false">IF($A24="",0,INDEX(設定_科目表!$F$2:$K$19,MATCH(O$1,設定_科目表!$B$2:$B$19,0),$B24))</f>
        <v>0</v>
      </c>
      <c r="P24" s="13" t="n">
        <f aca="false">IF($A24="",0,INDEX(設定_科目表!$F$2:$K$19,MATCH(P$1,設定_科目表!$B$2:$B$19,0),$B24))</f>
        <v>0</v>
      </c>
      <c r="Q24" s="13" t="n">
        <f aca="false">IF($A24="",0,INDEX(設定_科目表!$F$2:$K$19,MATCH(Q$1,設定_科目表!$B$2:$B$19,0),$B24))</f>
        <v>0</v>
      </c>
      <c r="R24" s="13" t="n">
        <f aca="false">IF($A24="",0,INDEX(設定_科目表!$F$2:$K$19,MATCH(R$1,設定_科目表!$B$2:$B$19,0),$B24))</f>
        <v>0</v>
      </c>
      <c r="S24" s="13" t="n">
        <f aca="false">IF($A24="",0,INDEX(設定_科目表!$F$2:$K$19,MATCH(S$1,設定_科目表!$B$2:$B$19,0),$B24))</f>
        <v>0</v>
      </c>
      <c r="T24" s="13" t="n">
        <f aca="false">IF($A24="",0,INDEX(設定_科目表!$F$2:$K$19,MATCH(T$1,設定_科目表!$B$2:$B$19,0),$B24))</f>
        <v>0</v>
      </c>
      <c r="U24" s="13" t="n">
        <f aca="false">IF($A24="",0,INDEX(設定_科目表!$F$2:$K$19,MATCH(U$1,設定_科目表!$B$2:$B$19,0),$B24))</f>
        <v>0</v>
      </c>
      <c r="V24" s="13" t="n">
        <f aca="false">SUM(D24:U24)</f>
        <v>0</v>
      </c>
      <c r="W24" s="13" t="str">
        <f aca="false">IF($A24="","",VLOOKUP($B24,設定_年段時段!$A$2:$AL$7,38,0))</f>
        <v/>
      </c>
      <c r="X24" s="13" t="str">
        <f aca="false">IF($A24="","",IF($V24=$W24,"✓","⚠不符"))</f>
        <v/>
      </c>
    </row>
    <row r="25" customFormat="false" ht="15" hidden="false" customHeight="true" outlineLevel="0" collapsed="false">
      <c r="A25" s="13" t="str">
        <f aca="false">IF(班級基本資料!A25="","",班級基本資料!A25)</f>
        <v/>
      </c>
      <c r="B25" s="13" t="str">
        <f aca="false">IF(班級基本資料!A25="","",班級基本資料!B25)</f>
        <v/>
      </c>
      <c r="C25" s="13" t="str">
        <f aca="false">IF(班級基本資料!A25="","",班級基本資料!C25)</f>
        <v/>
      </c>
      <c r="D25" s="13" t="n">
        <f aca="false">IF($A25="",0,INDEX(設定_科目表!$F$2:$K$19,MATCH(D$1,設定_科目表!$B$2:$B$19,0),$B25))</f>
        <v>0</v>
      </c>
      <c r="E25" s="13" t="n">
        <f aca="false">IF($A25="",0,INDEX(設定_科目表!$F$2:$K$19,MATCH(E$1,設定_科目表!$B$2:$B$19,0),$B25))</f>
        <v>0</v>
      </c>
      <c r="F25" s="13" t="n">
        <f aca="false">IF($A25="",0,INDEX(設定_科目表!$F$2:$K$19,MATCH(F$1,設定_科目表!$B$2:$B$19,0),$B25))</f>
        <v>0</v>
      </c>
      <c r="G25" s="13" t="n">
        <f aca="false">IF($A25="",0,INDEX(設定_科目表!$F$2:$K$19,MATCH(G$1,設定_科目表!$B$2:$B$19,0),$B25))</f>
        <v>0</v>
      </c>
      <c r="H25" s="13" t="n">
        <f aca="false">IF($A25="",0,INDEX(設定_科目表!$F$2:$K$19,MATCH(H$1,設定_科目表!$B$2:$B$19,0),$B25))</f>
        <v>0</v>
      </c>
      <c r="I25" s="13" t="n">
        <f aca="false">IF($A25="",0,INDEX(設定_科目表!$F$2:$K$19,MATCH(I$1,設定_科目表!$B$2:$B$19,0),$B25))</f>
        <v>0</v>
      </c>
      <c r="J25" s="13" t="n">
        <f aca="false">IF($A25="",0,INDEX(設定_科目表!$F$2:$K$19,MATCH(J$1,設定_科目表!$B$2:$B$19,0),$B25))</f>
        <v>0</v>
      </c>
      <c r="K25" s="13" t="n">
        <f aca="false">IF($A25="",0,INDEX(設定_科目表!$F$2:$K$19,MATCH(K$1,設定_科目表!$B$2:$B$19,0),$B25))</f>
        <v>0</v>
      </c>
      <c r="L25" s="13" t="n">
        <f aca="false">IF($A25="",0,INDEX(設定_科目表!$F$2:$K$19,MATCH(L$1,設定_科目表!$B$2:$B$19,0),$B25))</f>
        <v>0</v>
      </c>
      <c r="M25" s="13" t="n">
        <f aca="false">IF($A25="",0,INDEX(設定_科目表!$F$2:$K$19,MATCH(M$1,設定_科目表!$B$2:$B$19,0),$B25))</f>
        <v>0</v>
      </c>
      <c r="N25" s="13" t="n">
        <f aca="false">IF($A25="",0,INDEX(設定_科目表!$F$2:$K$19,MATCH(N$1,設定_科目表!$B$2:$B$19,0),$B25))</f>
        <v>0</v>
      </c>
      <c r="O25" s="13" t="n">
        <f aca="false">IF($A25="",0,INDEX(設定_科目表!$F$2:$K$19,MATCH(O$1,設定_科目表!$B$2:$B$19,0),$B25))</f>
        <v>0</v>
      </c>
      <c r="P25" s="13" t="n">
        <f aca="false">IF($A25="",0,INDEX(設定_科目表!$F$2:$K$19,MATCH(P$1,設定_科目表!$B$2:$B$19,0),$B25))</f>
        <v>0</v>
      </c>
      <c r="Q25" s="13" t="n">
        <f aca="false">IF($A25="",0,INDEX(設定_科目表!$F$2:$K$19,MATCH(Q$1,設定_科目表!$B$2:$B$19,0),$B25))</f>
        <v>0</v>
      </c>
      <c r="R25" s="13" t="n">
        <f aca="false">IF($A25="",0,INDEX(設定_科目表!$F$2:$K$19,MATCH(R$1,設定_科目表!$B$2:$B$19,0),$B25))</f>
        <v>0</v>
      </c>
      <c r="S25" s="13" t="n">
        <f aca="false">IF($A25="",0,INDEX(設定_科目表!$F$2:$K$19,MATCH(S$1,設定_科目表!$B$2:$B$19,0),$B25))</f>
        <v>0</v>
      </c>
      <c r="T25" s="13" t="n">
        <f aca="false">IF($A25="",0,INDEX(設定_科目表!$F$2:$K$19,MATCH(T$1,設定_科目表!$B$2:$B$19,0),$B25))</f>
        <v>0</v>
      </c>
      <c r="U25" s="13" t="n">
        <f aca="false">IF($A25="",0,INDEX(設定_科目表!$F$2:$K$19,MATCH(U$1,設定_科目表!$B$2:$B$19,0),$B25))</f>
        <v>0</v>
      </c>
      <c r="V25" s="13" t="n">
        <f aca="false">SUM(D25:U25)</f>
        <v>0</v>
      </c>
      <c r="W25" s="13" t="str">
        <f aca="false">IF($A25="","",VLOOKUP($B25,設定_年段時段!$A$2:$AL$7,38,0))</f>
        <v/>
      </c>
      <c r="X25" s="13" t="str">
        <f aca="false">IF($A25="","",IF($V25=$W25,"✓","⚠不符"))</f>
        <v/>
      </c>
    </row>
    <row r="26" customFormat="false" ht="15" hidden="false" customHeight="true" outlineLevel="0" collapsed="false">
      <c r="A26" s="13" t="str">
        <f aca="false">IF(班級基本資料!A26="","",班級基本資料!A26)</f>
        <v/>
      </c>
      <c r="B26" s="13" t="str">
        <f aca="false">IF(班級基本資料!A26="","",班級基本資料!B26)</f>
        <v/>
      </c>
      <c r="C26" s="13" t="str">
        <f aca="false">IF(班級基本資料!A26="","",班級基本資料!C26)</f>
        <v/>
      </c>
      <c r="D26" s="13" t="n">
        <f aca="false">IF($A26="",0,INDEX(設定_科目表!$F$2:$K$19,MATCH(D$1,設定_科目表!$B$2:$B$19,0),$B26))</f>
        <v>0</v>
      </c>
      <c r="E26" s="13" t="n">
        <f aca="false">IF($A26="",0,INDEX(設定_科目表!$F$2:$K$19,MATCH(E$1,設定_科目表!$B$2:$B$19,0),$B26))</f>
        <v>0</v>
      </c>
      <c r="F26" s="13" t="n">
        <f aca="false">IF($A26="",0,INDEX(設定_科目表!$F$2:$K$19,MATCH(F$1,設定_科目表!$B$2:$B$19,0),$B26))</f>
        <v>0</v>
      </c>
      <c r="G26" s="13" t="n">
        <f aca="false">IF($A26="",0,INDEX(設定_科目表!$F$2:$K$19,MATCH(G$1,設定_科目表!$B$2:$B$19,0),$B26))</f>
        <v>0</v>
      </c>
      <c r="H26" s="13" t="n">
        <f aca="false">IF($A26="",0,INDEX(設定_科目表!$F$2:$K$19,MATCH(H$1,設定_科目表!$B$2:$B$19,0),$B26))</f>
        <v>0</v>
      </c>
      <c r="I26" s="13" t="n">
        <f aca="false">IF($A26="",0,INDEX(設定_科目表!$F$2:$K$19,MATCH(I$1,設定_科目表!$B$2:$B$19,0),$B26))</f>
        <v>0</v>
      </c>
      <c r="J26" s="13" t="n">
        <f aca="false">IF($A26="",0,INDEX(設定_科目表!$F$2:$K$19,MATCH(J$1,設定_科目表!$B$2:$B$19,0),$B26))</f>
        <v>0</v>
      </c>
      <c r="K26" s="13" t="n">
        <f aca="false">IF($A26="",0,INDEX(設定_科目表!$F$2:$K$19,MATCH(K$1,設定_科目表!$B$2:$B$19,0),$B26))</f>
        <v>0</v>
      </c>
      <c r="L26" s="13" t="n">
        <f aca="false">IF($A26="",0,INDEX(設定_科目表!$F$2:$K$19,MATCH(L$1,設定_科目表!$B$2:$B$19,0),$B26))</f>
        <v>0</v>
      </c>
      <c r="M26" s="13" t="n">
        <f aca="false">IF($A26="",0,INDEX(設定_科目表!$F$2:$K$19,MATCH(M$1,設定_科目表!$B$2:$B$19,0),$B26))</f>
        <v>0</v>
      </c>
      <c r="N26" s="13" t="n">
        <f aca="false">IF($A26="",0,INDEX(設定_科目表!$F$2:$K$19,MATCH(N$1,設定_科目表!$B$2:$B$19,0),$B26))</f>
        <v>0</v>
      </c>
      <c r="O26" s="13" t="n">
        <f aca="false">IF($A26="",0,INDEX(設定_科目表!$F$2:$K$19,MATCH(O$1,設定_科目表!$B$2:$B$19,0),$B26))</f>
        <v>0</v>
      </c>
      <c r="P26" s="13" t="n">
        <f aca="false">IF($A26="",0,INDEX(設定_科目表!$F$2:$K$19,MATCH(P$1,設定_科目表!$B$2:$B$19,0),$B26))</f>
        <v>0</v>
      </c>
      <c r="Q26" s="13" t="n">
        <f aca="false">IF($A26="",0,INDEX(設定_科目表!$F$2:$K$19,MATCH(Q$1,設定_科目表!$B$2:$B$19,0),$B26))</f>
        <v>0</v>
      </c>
      <c r="R26" s="13" t="n">
        <f aca="false">IF($A26="",0,INDEX(設定_科目表!$F$2:$K$19,MATCH(R$1,設定_科目表!$B$2:$B$19,0),$B26))</f>
        <v>0</v>
      </c>
      <c r="S26" s="13" t="n">
        <f aca="false">IF($A26="",0,INDEX(設定_科目表!$F$2:$K$19,MATCH(S$1,設定_科目表!$B$2:$B$19,0),$B26))</f>
        <v>0</v>
      </c>
      <c r="T26" s="13" t="n">
        <f aca="false">IF($A26="",0,INDEX(設定_科目表!$F$2:$K$19,MATCH(T$1,設定_科目表!$B$2:$B$19,0),$B26))</f>
        <v>0</v>
      </c>
      <c r="U26" s="13" t="n">
        <f aca="false">IF($A26="",0,INDEX(設定_科目表!$F$2:$K$19,MATCH(U$1,設定_科目表!$B$2:$B$19,0),$B26))</f>
        <v>0</v>
      </c>
      <c r="V26" s="13" t="n">
        <f aca="false">SUM(D26:U26)</f>
        <v>0</v>
      </c>
      <c r="W26" s="13" t="str">
        <f aca="false">IF($A26="","",VLOOKUP($B26,設定_年段時段!$A$2:$AL$7,38,0))</f>
        <v/>
      </c>
      <c r="X26" s="13" t="str">
        <f aca="false">IF($A26="","",IF($V26=$W26,"✓","⚠不符"))</f>
        <v/>
      </c>
    </row>
    <row r="27" customFormat="false" ht="15" hidden="false" customHeight="true" outlineLevel="0" collapsed="false">
      <c r="A27" s="13" t="str">
        <f aca="false">IF(班級基本資料!A27="","",班級基本資料!A27)</f>
        <v/>
      </c>
      <c r="B27" s="13" t="str">
        <f aca="false">IF(班級基本資料!A27="","",班級基本資料!B27)</f>
        <v/>
      </c>
      <c r="C27" s="13" t="str">
        <f aca="false">IF(班級基本資料!A27="","",班級基本資料!C27)</f>
        <v/>
      </c>
      <c r="D27" s="13" t="n">
        <f aca="false">IF($A27="",0,INDEX(設定_科目表!$F$2:$K$19,MATCH(D$1,設定_科目表!$B$2:$B$19,0),$B27))</f>
        <v>0</v>
      </c>
      <c r="E27" s="13" t="n">
        <f aca="false">IF($A27="",0,INDEX(設定_科目表!$F$2:$K$19,MATCH(E$1,設定_科目表!$B$2:$B$19,0),$B27))</f>
        <v>0</v>
      </c>
      <c r="F27" s="13" t="n">
        <f aca="false">IF($A27="",0,INDEX(設定_科目表!$F$2:$K$19,MATCH(F$1,設定_科目表!$B$2:$B$19,0),$B27))</f>
        <v>0</v>
      </c>
      <c r="G27" s="13" t="n">
        <f aca="false">IF($A27="",0,INDEX(設定_科目表!$F$2:$K$19,MATCH(G$1,設定_科目表!$B$2:$B$19,0),$B27))</f>
        <v>0</v>
      </c>
      <c r="H27" s="13" t="n">
        <f aca="false">IF($A27="",0,INDEX(設定_科目表!$F$2:$K$19,MATCH(H$1,設定_科目表!$B$2:$B$19,0),$B27))</f>
        <v>0</v>
      </c>
      <c r="I27" s="13" t="n">
        <f aca="false">IF($A27="",0,INDEX(設定_科目表!$F$2:$K$19,MATCH(I$1,設定_科目表!$B$2:$B$19,0),$B27))</f>
        <v>0</v>
      </c>
      <c r="J27" s="13" t="n">
        <f aca="false">IF($A27="",0,INDEX(設定_科目表!$F$2:$K$19,MATCH(J$1,設定_科目表!$B$2:$B$19,0),$B27))</f>
        <v>0</v>
      </c>
      <c r="K27" s="13" t="n">
        <f aca="false">IF($A27="",0,INDEX(設定_科目表!$F$2:$K$19,MATCH(K$1,設定_科目表!$B$2:$B$19,0),$B27))</f>
        <v>0</v>
      </c>
      <c r="L27" s="13" t="n">
        <f aca="false">IF($A27="",0,INDEX(設定_科目表!$F$2:$K$19,MATCH(L$1,設定_科目表!$B$2:$B$19,0),$B27))</f>
        <v>0</v>
      </c>
      <c r="M27" s="13" t="n">
        <f aca="false">IF($A27="",0,INDEX(設定_科目表!$F$2:$K$19,MATCH(M$1,設定_科目表!$B$2:$B$19,0),$B27))</f>
        <v>0</v>
      </c>
      <c r="N27" s="13" t="n">
        <f aca="false">IF($A27="",0,INDEX(設定_科目表!$F$2:$K$19,MATCH(N$1,設定_科目表!$B$2:$B$19,0),$B27))</f>
        <v>0</v>
      </c>
      <c r="O27" s="13" t="n">
        <f aca="false">IF($A27="",0,INDEX(設定_科目表!$F$2:$K$19,MATCH(O$1,設定_科目表!$B$2:$B$19,0),$B27))</f>
        <v>0</v>
      </c>
      <c r="P27" s="13" t="n">
        <f aca="false">IF($A27="",0,INDEX(設定_科目表!$F$2:$K$19,MATCH(P$1,設定_科目表!$B$2:$B$19,0),$B27))</f>
        <v>0</v>
      </c>
      <c r="Q27" s="13" t="n">
        <f aca="false">IF($A27="",0,INDEX(設定_科目表!$F$2:$K$19,MATCH(Q$1,設定_科目表!$B$2:$B$19,0),$B27))</f>
        <v>0</v>
      </c>
      <c r="R27" s="13" t="n">
        <f aca="false">IF($A27="",0,INDEX(設定_科目表!$F$2:$K$19,MATCH(R$1,設定_科目表!$B$2:$B$19,0),$B27))</f>
        <v>0</v>
      </c>
      <c r="S27" s="13" t="n">
        <f aca="false">IF($A27="",0,INDEX(設定_科目表!$F$2:$K$19,MATCH(S$1,設定_科目表!$B$2:$B$19,0),$B27))</f>
        <v>0</v>
      </c>
      <c r="T27" s="13" t="n">
        <f aca="false">IF($A27="",0,INDEX(設定_科目表!$F$2:$K$19,MATCH(T$1,設定_科目表!$B$2:$B$19,0),$B27))</f>
        <v>0</v>
      </c>
      <c r="U27" s="13" t="n">
        <f aca="false">IF($A27="",0,INDEX(設定_科目表!$F$2:$K$19,MATCH(U$1,設定_科目表!$B$2:$B$19,0),$B27))</f>
        <v>0</v>
      </c>
      <c r="V27" s="13" t="n">
        <f aca="false">SUM(D27:U27)</f>
        <v>0</v>
      </c>
      <c r="W27" s="13" t="str">
        <f aca="false">IF($A27="","",VLOOKUP($B27,設定_年段時段!$A$2:$AL$7,38,0))</f>
        <v/>
      </c>
      <c r="X27" s="13" t="str">
        <f aca="false">IF($A27="","",IF($V27=$W27,"✓","⚠不符"))</f>
        <v/>
      </c>
    </row>
    <row r="28" customFormat="false" ht="15" hidden="false" customHeight="true" outlineLevel="0" collapsed="false">
      <c r="A28" s="13" t="str">
        <f aca="false">IF(班級基本資料!A28="","",班級基本資料!A28)</f>
        <v/>
      </c>
      <c r="B28" s="13" t="str">
        <f aca="false">IF(班級基本資料!A28="","",班級基本資料!B28)</f>
        <v/>
      </c>
      <c r="C28" s="13" t="str">
        <f aca="false">IF(班級基本資料!A28="","",班級基本資料!C28)</f>
        <v/>
      </c>
      <c r="D28" s="13" t="n">
        <f aca="false">IF($A28="",0,INDEX(設定_科目表!$F$2:$K$19,MATCH(D$1,設定_科目表!$B$2:$B$19,0),$B28))</f>
        <v>0</v>
      </c>
      <c r="E28" s="13" t="n">
        <f aca="false">IF($A28="",0,INDEX(設定_科目表!$F$2:$K$19,MATCH(E$1,設定_科目表!$B$2:$B$19,0),$B28))</f>
        <v>0</v>
      </c>
      <c r="F28" s="13" t="n">
        <f aca="false">IF($A28="",0,INDEX(設定_科目表!$F$2:$K$19,MATCH(F$1,設定_科目表!$B$2:$B$19,0),$B28))</f>
        <v>0</v>
      </c>
      <c r="G28" s="13" t="n">
        <f aca="false">IF($A28="",0,INDEX(設定_科目表!$F$2:$K$19,MATCH(G$1,設定_科目表!$B$2:$B$19,0),$B28))</f>
        <v>0</v>
      </c>
      <c r="H28" s="13" t="n">
        <f aca="false">IF($A28="",0,INDEX(設定_科目表!$F$2:$K$19,MATCH(H$1,設定_科目表!$B$2:$B$19,0),$B28))</f>
        <v>0</v>
      </c>
      <c r="I28" s="13" t="n">
        <f aca="false">IF($A28="",0,INDEX(設定_科目表!$F$2:$K$19,MATCH(I$1,設定_科目表!$B$2:$B$19,0),$B28))</f>
        <v>0</v>
      </c>
      <c r="J28" s="13" t="n">
        <f aca="false">IF($A28="",0,INDEX(設定_科目表!$F$2:$K$19,MATCH(J$1,設定_科目表!$B$2:$B$19,0),$B28))</f>
        <v>0</v>
      </c>
      <c r="K28" s="13" t="n">
        <f aca="false">IF($A28="",0,INDEX(設定_科目表!$F$2:$K$19,MATCH(K$1,設定_科目表!$B$2:$B$19,0),$B28))</f>
        <v>0</v>
      </c>
      <c r="L28" s="13" t="n">
        <f aca="false">IF($A28="",0,INDEX(設定_科目表!$F$2:$K$19,MATCH(L$1,設定_科目表!$B$2:$B$19,0),$B28))</f>
        <v>0</v>
      </c>
      <c r="M28" s="13" t="n">
        <f aca="false">IF($A28="",0,INDEX(設定_科目表!$F$2:$K$19,MATCH(M$1,設定_科目表!$B$2:$B$19,0),$B28))</f>
        <v>0</v>
      </c>
      <c r="N28" s="13" t="n">
        <f aca="false">IF($A28="",0,INDEX(設定_科目表!$F$2:$K$19,MATCH(N$1,設定_科目表!$B$2:$B$19,0),$B28))</f>
        <v>0</v>
      </c>
      <c r="O28" s="13" t="n">
        <f aca="false">IF($A28="",0,INDEX(設定_科目表!$F$2:$K$19,MATCH(O$1,設定_科目表!$B$2:$B$19,0),$B28))</f>
        <v>0</v>
      </c>
      <c r="P28" s="13" t="n">
        <f aca="false">IF($A28="",0,INDEX(設定_科目表!$F$2:$K$19,MATCH(P$1,設定_科目表!$B$2:$B$19,0),$B28))</f>
        <v>0</v>
      </c>
      <c r="Q28" s="13" t="n">
        <f aca="false">IF($A28="",0,INDEX(設定_科目表!$F$2:$K$19,MATCH(Q$1,設定_科目表!$B$2:$B$19,0),$B28))</f>
        <v>0</v>
      </c>
      <c r="R28" s="13" t="n">
        <f aca="false">IF($A28="",0,INDEX(設定_科目表!$F$2:$K$19,MATCH(R$1,設定_科目表!$B$2:$B$19,0),$B28))</f>
        <v>0</v>
      </c>
      <c r="S28" s="13" t="n">
        <f aca="false">IF($A28="",0,INDEX(設定_科目表!$F$2:$K$19,MATCH(S$1,設定_科目表!$B$2:$B$19,0),$B28))</f>
        <v>0</v>
      </c>
      <c r="T28" s="13" t="n">
        <f aca="false">IF($A28="",0,INDEX(設定_科目表!$F$2:$K$19,MATCH(T$1,設定_科目表!$B$2:$B$19,0),$B28))</f>
        <v>0</v>
      </c>
      <c r="U28" s="13" t="n">
        <f aca="false">IF($A28="",0,INDEX(設定_科目表!$F$2:$K$19,MATCH(U$1,設定_科目表!$B$2:$B$19,0),$B28))</f>
        <v>0</v>
      </c>
      <c r="V28" s="13" t="n">
        <f aca="false">SUM(D28:U28)</f>
        <v>0</v>
      </c>
      <c r="W28" s="13" t="str">
        <f aca="false">IF($A28="","",VLOOKUP($B28,設定_年段時段!$A$2:$AL$7,38,0))</f>
        <v/>
      </c>
      <c r="X28" s="13" t="str">
        <f aca="false">IF($A28="","",IF($V28=$W28,"✓","⚠不符"))</f>
        <v/>
      </c>
    </row>
    <row r="29" customFormat="false" ht="15" hidden="false" customHeight="true" outlineLevel="0" collapsed="false">
      <c r="A29" s="13" t="str">
        <f aca="false">IF(班級基本資料!A29="","",班級基本資料!A29)</f>
        <v/>
      </c>
      <c r="B29" s="13" t="str">
        <f aca="false">IF(班級基本資料!A29="","",班級基本資料!B29)</f>
        <v/>
      </c>
      <c r="C29" s="13" t="str">
        <f aca="false">IF(班級基本資料!A29="","",班級基本資料!C29)</f>
        <v/>
      </c>
      <c r="D29" s="13" t="n">
        <f aca="false">IF($A29="",0,INDEX(設定_科目表!$F$2:$K$19,MATCH(D$1,設定_科目表!$B$2:$B$19,0),$B29))</f>
        <v>0</v>
      </c>
      <c r="E29" s="13" t="n">
        <f aca="false">IF($A29="",0,INDEX(設定_科目表!$F$2:$K$19,MATCH(E$1,設定_科目表!$B$2:$B$19,0),$B29))</f>
        <v>0</v>
      </c>
      <c r="F29" s="13" t="n">
        <f aca="false">IF($A29="",0,INDEX(設定_科目表!$F$2:$K$19,MATCH(F$1,設定_科目表!$B$2:$B$19,0),$B29))</f>
        <v>0</v>
      </c>
      <c r="G29" s="13" t="n">
        <f aca="false">IF($A29="",0,INDEX(設定_科目表!$F$2:$K$19,MATCH(G$1,設定_科目表!$B$2:$B$19,0),$B29))</f>
        <v>0</v>
      </c>
      <c r="H29" s="13" t="n">
        <f aca="false">IF($A29="",0,INDEX(設定_科目表!$F$2:$K$19,MATCH(H$1,設定_科目表!$B$2:$B$19,0),$B29))</f>
        <v>0</v>
      </c>
      <c r="I29" s="13" t="n">
        <f aca="false">IF($A29="",0,INDEX(設定_科目表!$F$2:$K$19,MATCH(I$1,設定_科目表!$B$2:$B$19,0),$B29))</f>
        <v>0</v>
      </c>
      <c r="J29" s="13" t="n">
        <f aca="false">IF($A29="",0,INDEX(設定_科目表!$F$2:$K$19,MATCH(J$1,設定_科目表!$B$2:$B$19,0),$B29))</f>
        <v>0</v>
      </c>
      <c r="K29" s="13" t="n">
        <f aca="false">IF($A29="",0,INDEX(設定_科目表!$F$2:$K$19,MATCH(K$1,設定_科目表!$B$2:$B$19,0),$B29))</f>
        <v>0</v>
      </c>
      <c r="L29" s="13" t="n">
        <f aca="false">IF($A29="",0,INDEX(設定_科目表!$F$2:$K$19,MATCH(L$1,設定_科目表!$B$2:$B$19,0),$B29))</f>
        <v>0</v>
      </c>
      <c r="M29" s="13" t="n">
        <f aca="false">IF($A29="",0,INDEX(設定_科目表!$F$2:$K$19,MATCH(M$1,設定_科目表!$B$2:$B$19,0),$B29))</f>
        <v>0</v>
      </c>
      <c r="N29" s="13" t="n">
        <f aca="false">IF($A29="",0,INDEX(設定_科目表!$F$2:$K$19,MATCH(N$1,設定_科目表!$B$2:$B$19,0),$B29))</f>
        <v>0</v>
      </c>
      <c r="O29" s="13" t="n">
        <f aca="false">IF($A29="",0,INDEX(設定_科目表!$F$2:$K$19,MATCH(O$1,設定_科目表!$B$2:$B$19,0),$B29))</f>
        <v>0</v>
      </c>
      <c r="P29" s="13" t="n">
        <f aca="false">IF($A29="",0,INDEX(設定_科目表!$F$2:$K$19,MATCH(P$1,設定_科目表!$B$2:$B$19,0),$B29))</f>
        <v>0</v>
      </c>
      <c r="Q29" s="13" t="n">
        <f aca="false">IF($A29="",0,INDEX(設定_科目表!$F$2:$K$19,MATCH(Q$1,設定_科目表!$B$2:$B$19,0),$B29))</f>
        <v>0</v>
      </c>
      <c r="R29" s="13" t="n">
        <f aca="false">IF($A29="",0,INDEX(設定_科目表!$F$2:$K$19,MATCH(R$1,設定_科目表!$B$2:$B$19,0),$B29))</f>
        <v>0</v>
      </c>
      <c r="S29" s="13" t="n">
        <f aca="false">IF($A29="",0,INDEX(設定_科目表!$F$2:$K$19,MATCH(S$1,設定_科目表!$B$2:$B$19,0),$B29))</f>
        <v>0</v>
      </c>
      <c r="T29" s="13" t="n">
        <f aca="false">IF($A29="",0,INDEX(設定_科目表!$F$2:$K$19,MATCH(T$1,設定_科目表!$B$2:$B$19,0),$B29))</f>
        <v>0</v>
      </c>
      <c r="U29" s="13" t="n">
        <f aca="false">IF($A29="",0,INDEX(設定_科目表!$F$2:$K$19,MATCH(U$1,設定_科目表!$B$2:$B$19,0),$B29))</f>
        <v>0</v>
      </c>
      <c r="V29" s="13" t="n">
        <f aca="false">SUM(D29:U29)</f>
        <v>0</v>
      </c>
      <c r="W29" s="13" t="str">
        <f aca="false">IF($A29="","",VLOOKUP($B29,設定_年段時段!$A$2:$AL$7,38,0))</f>
        <v/>
      </c>
      <c r="X29" s="13" t="str">
        <f aca="false">IF($A29="","",IF($V29=$W29,"✓","⚠不符"))</f>
        <v/>
      </c>
    </row>
    <row r="30" customFormat="false" ht="15" hidden="false" customHeight="true" outlineLevel="0" collapsed="false">
      <c r="A30" s="13" t="str">
        <f aca="false">IF(班級基本資料!A30="","",班級基本資料!A30)</f>
        <v/>
      </c>
      <c r="B30" s="13" t="str">
        <f aca="false">IF(班級基本資料!A30="","",班級基本資料!B30)</f>
        <v/>
      </c>
      <c r="C30" s="13" t="str">
        <f aca="false">IF(班級基本資料!A30="","",班級基本資料!C30)</f>
        <v/>
      </c>
      <c r="D30" s="13" t="n">
        <f aca="false">IF($A30="",0,INDEX(設定_科目表!$F$2:$K$19,MATCH(D$1,設定_科目表!$B$2:$B$19,0),$B30))</f>
        <v>0</v>
      </c>
      <c r="E30" s="13" t="n">
        <f aca="false">IF($A30="",0,INDEX(設定_科目表!$F$2:$K$19,MATCH(E$1,設定_科目表!$B$2:$B$19,0),$B30))</f>
        <v>0</v>
      </c>
      <c r="F30" s="13" t="n">
        <f aca="false">IF($A30="",0,INDEX(設定_科目表!$F$2:$K$19,MATCH(F$1,設定_科目表!$B$2:$B$19,0),$B30))</f>
        <v>0</v>
      </c>
      <c r="G30" s="13" t="n">
        <f aca="false">IF($A30="",0,INDEX(設定_科目表!$F$2:$K$19,MATCH(G$1,設定_科目表!$B$2:$B$19,0),$B30))</f>
        <v>0</v>
      </c>
      <c r="H30" s="13" t="n">
        <f aca="false">IF($A30="",0,INDEX(設定_科目表!$F$2:$K$19,MATCH(H$1,設定_科目表!$B$2:$B$19,0),$B30))</f>
        <v>0</v>
      </c>
      <c r="I30" s="13" t="n">
        <f aca="false">IF($A30="",0,INDEX(設定_科目表!$F$2:$K$19,MATCH(I$1,設定_科目表!$B$2:$B$19,0),$B30))</f>
        <v>0</v>
      </c>
      <c r="J30" s="13" t="n">
        <f aca="false">IF($A30="",0,INDEX(設定_科目表!$F$2:$K$19,MATCH(J$1,設定_科目表!$B$2:$B$19,0),$B30))</f>
        <v>0</v>
      </c>
      <c r="K30" s="13" t="n">
        <f aca="false">IF($A30="",0,INDEX(設定_科目表!$F$2:$K$19,MATCH(K$1,設定_科目表!$B$2:$B$19,0),$B30))</f>
        <v>0</v>
      </c>
      <c r="L30" s="13" t="n">
        <f aca="false">IF($A30="",0,INDEX(設定_科目表!$F$2:$K$19,MATCH(L$1,設定_科目表!$B$2:$B$19,0),$B30))</f>
        <v>0</v>
      </c>
      <c r="M30" s="13" t="n">
        <f aca="false">IF($A30="",0,INDEX(設定_科目表!$F$2:$K$19,MATCH(M$1,設定_科目表!$B$2:$B$19,0),$B30))</f>
        <v>0</v>
      </c>
      <c r="N30" s="13" t="n">
        <f aca="false">IF($A30="",0,INDEX(設定_科目表!$F$2:$K$19,MATCH(N$1,設定_科目表!$B$2:$B$19,0),$B30))</f>
        <v>0</v>
      </c>
      <c r="O30" s="13" t="n">
        <f aca="false">IF($A30="",0,INDEX(設定_科目表!$F$2:$K$19,MATCH(O$1,設定_科目表!$B$2:$B$19,0),$B30))</f>
        <v>0</v>
      </c>
      <c r="P30" s="13" t="n">
        <f aca="false">IF($A30="",0,INDEX(設定_科目表!$F$2:$K$19,MATCH(P$1,設定_科目表!$B$2:$B$19,0),$B30))</f>
        <v>0</v>
      </c>
      <c r="Q30" s="13" t="n">
        <f aca="false">IF($A30="",0,INDEX(設定_科目表!$F$2:$K$19,MATCH(Q$1,設定_科目表!$B$2:$B$19,0),$B30))</f>
        <v>0</v>
      </c>
      <c r="R30" s="13" t="n">
        <f aca="false">IF($A30="",0,INDEX(設定_科目表!$F$2:$K$19,MATCH(R$1,設定_科目表!$B$2:$B$19,0),$B30))</f>
        <v>0</v>
      </c>
      <c r="S30" s="13" t="n">
        <f aca="false">IF($A30="",0,INDEX(設定_科目表!$F$2:$K$19,MATCH(S$1,設定_科目表!$B$2:$B$19,0),$B30))</f>
        <v>0</v>
      </c>
      <c r="T30" s="13" t="n">
        <f aca="false">IF($A30="",0,INDEX(設定_科目表!$F$2:$K$19,MATCH(T$1,設定_科目表!$B$2:$B$19,0),$B30))</f>
        <v>0</v>
      </c>
      <c r="U30" s="13" t="n">
        <f aca="false">IF($A30="",0,INDEX(設定_科目表!$F$2:$K$19,MATCH(U$1,設定_科目表!$B$2:$B$19,0),$B30))</f>
        <v>0</v>
      </c>
      <c r="V30" s="13" t="n">
        <f aca="false">SUM(D30:U30)</f>
        <v>0</v>
      </c>
      <c r="W30" s="13" t="str">
        <f aca="false">IF($A30="","",VLOOKUP($B30,設定_年段時段!$A$2:$AL$7,38,0))</f>
        <v/>
      </c>
      <c r="X30" s="13" t="str">
        <f aca="false">IF($A30="","",IF($V30=$W30,"✓","⚠不符"))</f>
        <v/>
      </c>
    </row>
    <row r="31" customFormat="false" ht="15" hidden="false" customHeight="true" outlineLevel="0" collapsed="false">
      <c r="A31" s="13" t="str">
        <f aca="false">IF(班級基本資料!A31="","",班級基本資料!A31)</f>
        <v/>
      </c>
      <c r="B31" s="13" t="str">
        <f aca="false">IF(班級基本資料!A31="","",班級基本資料!B31)</f>
        <v/>
      </c>
      <c r="C31" s="13" t="str">
        <f aca="false">IF(班級基本資料!A31="","",班級基本資料!C31)</f>
        <v/>
      </c>
      <c r="D31" s="13" t="n">
        <f aca="false">IF($A31="",0,INDEX(設定_科目表!$F$2:$K$19,MATCH(D$1,設定_科目表!$B$2:$B$19,0),$B31))</f>
        <v>0</v>
      </c>
      <c r="E31" s="13" t="n">
        <f aca="false">IF($A31="",0,INDEX(設定_科目表!$F$2:$K$19,MATCH(E$1,設定_科目表!$B$2:$B$19,0),$B31))</f>
        <v>0</v>
      </c>
      <c r="F31" s="13" t="n">
        <f aca="false">IF($A31="",0,INDEX(設定_科目表!$F$2:$K$19,MATCH(F$1,設定_科目表!$B$2:$B$19,0),$B31))</f>
        <v>0</v>
      </c>
      <c r="G31" s="13" t="n">
        <f aca="false">IF($A31="",0,INDEX(設定_科目表!$F$2:$K$19,MATCH(G$1,設定_科目表!$B$2:$B$19,0),$B31))</f>
        <v>0</v>
      </c>
      <c r="H31" s="13" t="n">
        <f aca="false">IF($A31="",0,INDEX(設定_科目表!$F$2:$K$19,MATCH(H$1,設定_科目表!$B$2:$B$19,0),$B31))</f>
        <v>0</v>
      </c>
      <c r="I31" s="13" t="n">
        <f aca="false">IF($A31="",0,INDEX(設定_科目表!$F$2:$K$19,MATCH(I$1,設定_科目表!$B$2:$B$19,0),$B31))</f>
        <v>0</v>
      </c>
      <c r="J31" s="13" t="n">
        <f aca="false">IF($A31="",0,INDEX(設定_科目表!$F$2:$K$19,MATCH(J$1,設定_科目表!$B$2:$B$19,0),$B31))</f>
        <v>0</v>
      </c>
      <c r="K31" s="13" t="n">
        <f aca="false">IF($A31="",0,INDEX(設定_科目表!$F$2:$K$19,MATCH(K$1,設定_科目表!$B$2:$B$19,0),$B31))</f>
        <v>0</v>
      </c>
      <c r="L31" s="13" t="n">
        <f aca="false">IF($A31="",0,INDEX(設定_科目表!$F$2:$K$19,MATCH(L$1,設定_科目表!$B$2:$B$19,0),$B31))</f>
        <v>0</v>
      </c>
      <c r="M31" s="13" t="n">
        <f aca="false">IF($A31="",0,INDEX(設定_科目表!$F$2:$K$19,MATCH(M$1,設定_科目表!$B$2:$B$19,0),$B31))</f>
        <v>0</v>
      </c>
      <c r="N31" s="13" t="n">
        <f aca="false">IF($A31="",0,INDEX(設定_科目表!$F$2:$K$19,MATCH(N$1,設定_科目表!$B$2:$B$19,0),$B31))</f>
        <v>0</v>
      </c>
      <c r="O31" s="13" t="n">
        <f aca="false">IF($A31="",0,INDEX(設定_科目表!$F$2:$K$19,MATCH(O$1,設定_科目表!$B$2:$B$19,0),$B31))</f>
        <v>0</v>
      </c>
      <c r="P31" s="13" t="n">
        <f aca="false">IF($A31="",0,INDEX(設定_科目表!$F$2:$K$19,MATCH(P$1,設定_科目表!$B$2:$B$19,0),$B31))</f>
        <v>0</v>
      </c>
      <c r="Q31" s="13" t="n">
        <f aca="false">IF($A31="",0,INDEX(設定_科目表!$F$2:$K$19,MATCH(Q$1,設定_科目表!$B$2:$B$19,0),$B31))</f>
        <v>0</v>
      </c>
      <c r="R31" s="13" t="n">
        <f aca="false">IF($A31="",0,INDEX(設定_科目表!$F$2:$K$19,MATCH(R$1,設定_科目表!$B$2:$B$19,0),$B31))</f>
        <v>0</v>
      </c>
      <c r="S31" s="13" t="n">
        <f aca="false">IF($A31="",0,INDEX(設定_科目表!$F$2:$K$19,MATCH(S$1,設定_科目表!$B$2:$B$19,0),$B31))</f>
        <v>0</v>
      </c>
      <c r="T31" s="13" t="n">
        <f aca="false">IF($A31="",0,INDEX(設定_科目表!$F$2:$K$19,MATCH(T$1,設定_科目表!$B$2:$B$19,0),$B31))</f>
        <v>0</v>
      </c>
      <c r="U31" s="13" t="n">
        <f aca="false">IF($A31="",0,INDEX(設定_科目表!$F$2:$K$19,MATCH(U$1,設定_科目表!$B$2:$B$19,0),$B31))</f>
        <v>0</v>
      </c>
      <c r="V31" s="13" t="n">
        <f aca="false">SUM(D31:U31)</f>
        <v>0</v>
      </c>
      <c r="W31" s="13" t="str">
        <f aca="false">IF($A31="","",VLOOKUP($B31,設定_年段時段!$A$2:$AL$7,38,0))</f>
        <v/>
      </c>
      <c r="X31" s="13" t="str">
        <f aca="false">IF($A31="","",IF($V31=$W31,"✓","⚠不符"))</f>
        <v/>
      </c>
    </row>
    <row r="32" customFormat="false" ht="15" hidden="false" customHeight="true" outlineLevel="0" collapsed="false">
      <c r="A32" s="13" t="str">
        <f aca="false">IF(班級基本資料!A32="","",班級基本資料!A32)</f>
        <v/>
      </c>
      <c r="B32" s="13" t="str">
        <f aca="false">IF(班級基本資料!A32="","",班級基本資料!B32)</f>
        <v/>
      </c>
      <c r="C32" s="13" t="str">
        <f aca="false">IF(班級基本資料!A32="","",班級基本資料!C32)</f>
        <v/>
      </c>
      <c r="D32" s="13" t="n">
        <f aca="false">IF($A32="",0,INDEX(設定_科目表!$F$2:$K$19,MATCH(D$1,設定_科目表!$B$2:$B$19,0),$B32))</f>
        <v>0</v>
      </c>
      <c r="E32" s="13" t="n">
        <f aca="false">IF($A32="",0,INDEX(設定_科目表!$F$2:$K$19,MATCH(E$1,設定_科目表!$B$2:$B$19,0),$B32))</f>
        <v>0</v>
      </c>
      <c r="F32" s="13" t="n">
        <f aca="false">IF($A32="",0,INDEX(設定_科目表!$F$2:$K$19,MATCH(F$1,設定_科目表!$B$2:$B$19,0),$B32))</f>
        <v>0</v>
      </c>
      <c r="G32" s="13" t="n">
        <f aca="false">IF($A32="",0,INDEX(設定_科目表!$F$2:$K$19,MATCH(G$1,設定_科目表!$B$2:$B$19,0),$B32))</f>
        <v>0</v>
      </c>
      <c r="H32" s="13" t="n">
        <f aca="false">IF($A32="",0,INDEX(設定_科目表!$F$2:$K$19,MATCH(H$1,設定_科目表!$B$2:$B$19,0),$B32))</f>
        <v>0</v>
      </c>
      <c r="I32" s="13" t="n">
        <f aca="false">IF($A32="",0,INDEX(設定_科目表!$F$2:$K$19,MATCH(I$1,設定_科目表!$B$2:$B$19,0),$B32))</f>
        <v>0</v>
      </c>
      <c r="J32" s="13" t="n">
        <f aca="false">IF($A32="",0,INDEX(設定_科目表!$F$2:$K$19,MATCH(J$1,設定_科目表!$B$2:$B$19,0),$B32))</f>
        <v>0</v>
      </c>
      <c r="K32" s="13" t="n">
        <f aca="false">IF($A32="",0,INDEX(設定_科目表!$F$2:$K$19,MATCH(K$1,設定_科目表!$B$2:$B$19,0),$B32))</f>
        <v>0</v>
      </c>
      <c r="L32" s="13" t="n">
        <f aca="false">IF($A32="",0,INDEX(設定_科目表!$F$2:$K$19,MATCH(L$1,設定_科目表!$B$2:$B$19,0),$B32))</f>
        <v>0</v>
      </c>
      <c r="M32" s="13" t="n">
        <f aca="false">IF($A32="",0,INDEX(設定_科目表!$F$2:$K$19,MATCH(M$1,設定_科目表!$B$2:$B$19,0),$B32))</f>
        <v>0</v>
      </c>
      <c r="N32" s="13" t="n">
        <f aca="false">IF($A32="",0,INDEX(設定_科目表!$F$2:$K$19,MATCH(N$1,設定_科目表!$B$2:$B$19,0),$B32))</f>
        <v>0</v>
      </c>
      <c r="O32" s="13" t="n">
        <f aca="false">IF($A32="",0,INDEX(設定_科目表!$F$2:$K$19,MATCH(O$1,設定_科目表!$B$2:$B$19,0),$B32))</f>
        <v>0</v>
      </c>
      <c r="P32" s="13" t="n">
        <f aca="false">IF($A32="",0,INDEX(設定_科目表!$F$2:$K$19,MATCH(P$1,設定_科目表!$B$2:$B$19,0),$B32))</f>
        <v>0</v>
      </c>
      <c r="Q32" s="13" t="n">
        <f aca="false">IF($A32="",0,INDEX(設定_科目表!$F$2:$K$19,MATCH(Q$1,設定_科目表!$B$2:$B$19,0),$B32))</f>
        <v>0</v>
      </c>
      <c r="R32" s="13" t="n">
        <f aca="false">IF($A32="",0,INDEX(設定_科目表!$F$2:$K$19,MATCH(R$1,設定_科目表!$B$2:$B$19,0),$B32))</f>
        <v>0</v>
      </c>
      <c r="S32" s="13" t="n">
        <f aca="false">IF($A32="",0,INDEX(設定_科目表!$F$2:$K$19,MATCH(S$1,設定_科目表!$B$2:$B$19,0),$B32))</f>
        <v>0</v>
      </c>
      <c r="T32" s="13" t="n">
        <f aca="false">IF($A32="",0,INDEX(設定_科目表!$F$2:$K$19,MATCH(T$1,設定_科目表!$B$2:$B$19,0),$B32))</f>
        <v>0</v>
      </c>
      <c r="U32" s="13" t="n">
        <f aca="false">IF($A32="",0,INDEX(設定_科目表!$F$2:$K$19,MATCH(U$1,設定_科目表!$B$2:$B$19,0),$B32))</f>
        <v>0</v>
      </c>
      <c r="V32" s="13" t="n">
        <f aca="false">SUM(D32:U32)</f>
        <v>0</v>
      </c>
      <c r="W32" s="13" t="str">
        <f aca="false">IF($A32="","",VLOOKUP($B32,設定_年段時段!$A$2:$AL$7,38,0))</f>
        <v/>
      </c>
      <c r="X32" s="13" t="str">
        <f aca="false">IF($A32="","",IF($V32=$W32,"✓","⚠不符"))</f>
        <v/>
      </c>
    </row>
    <row r="33" customFormat="false" ht="15" hidden="false" customHeight="true" outlineLevel="0" collapsed="false">
      <c r="A33" s="13" t="str">
        <f aca="false">IF(班級基本資料!A33="","",班級基本資料!A33)</f>
        <v/>
      </c>
      <c r="B33" s="13" t="str">
        <f aca="false">IF(班級基本資料!A33="","",班級基本資料!B33)</f>
        <v/>
      </c>
      <c r="C33" s="13" t="str">
        <f aca="false">IF(班級基本資料!A33="","",班級基本資料!C33)</f>
        <v/>
      </c>
      <c r="D33" s="13" t="n">
        <f aca="false">IF($A33="",0,INDEX(設定_科目表!$F$2:$K$19,MATCH(D$1,設定_科目表!$B$2:$B$19,0),$B33))</f>
        <v>0</v>
      </c>
      <c r="E33" s="13" t="n">
        <f aca="false">IF($A33="",0,INDEX(設定_科目表!$F$2:$K$19,MATCH(E$1,設定_科目表!$B$2:$B$19,0),$B33))</f>
        <v>0</v>
      </c>
      <c r="F33" s="13" t="n">
        <f aca="false">IF($A33="",0,INDEX(設定_科目表!$F$2:$K$19,MATCH(F$1,設定_科目表!$B$2:$B$19,0),$B33))</f>
        <v>0</v>
      </c>
      <c r="G33" s="13" t="n">
        <f aca="false">IF($A33="",0,INDEX(設定_科目表!$F$2:$K$19,MATCH(G$1,設定_科目表!$B$2:$B$19,0),$B33))</f>
        <v>0</v>
      </c>
      <c r="H33" s="13" t="n">
        <f aca="false">IF($A33="",0,INDEX(設定_科目表!$F$2:$K$19,MATCH(H$1,設定_科目表!$B$2:$B$19,0),$B33))</f>
        <v>0</v>
      </c>
      <c r="I33" s="13" t="n">
        <f aca="false">IF($A33="",0,INDEX(設定_科目表!$F$2:$K$19,MATCH(I$1,設定_科目表!$B$2:$B$19,0),$B33))</f>
        <v>0</v>
      </c>
      <c r="J33" s="13" t="n">
        <f aca="false">IF($A33="",0,INDEX(設定_科目表!$F$2:$K$19,MATCH(J$1,設定_科目表!$B$2:$B$19,0),$B33))</f>
        <v>0</v>
      </c>
      <c r="K33" s="13" t="n">
        <f aca="false">IF($A33="",0,INDEX(設定_科目表!$F$2:$K$19,MATCH(K$1,設定_科目表!$B$2:$B$19,0),$B33))</f>
        <v>0</v>
      </c>
      <c r="L33" s="13" t="n">
        <f aca="false">IF($A33="",0,INDEX(設定_科目表!$F$2:$K$19,MATCH(L$1,設定_科目表!$B$2:$B$19,0),$B33))</f>
        <v>0</v>
      </c>
      <c r="M33" s="13" t="n">
        <f aca="false">IF($A33="",0,INDEX(設定_科目表!$F$2:$K$19,MATCH(M$1,設定_科目表!$B$2:$B$19,0),$B33))</f>
        <v>0</v>
      </c>
      <c r="N33" s="13" t="n">
        <f aca="false">IF($A33="",0,INDEX(設定_科目表!$F$2:$K$19,MATCH(N$1,設定_科目表!$B$2:$B$19,0),$B33))</f>
        <v>0</v>
      </c>
      <c r="O33" s="13" t="n">
        <f aca="false">IF($A33="",0,INDEX(設定_科目表!$F$2:$K$19,MATCH(O$1,設定_科目表!$B$2:$B$19,0),$B33))</f>
        <v>0</v>
      </c>
      <c r="P33" s="13" t="n">
        <f aca="false">IF($A33="",0,INDEX(設定_科目表!$F$2:$K$19,MATCH(P$1,設定_科目表!$B$2:$B$19,0),$B33))</f>
        <v>0</v>
      </c>
      <c r="Q33" s="13" t="n">
        <f aca="false">IF($A33="",0,INDEX(設定_科目表!$F$2:$K$19,MATCH(Q$1,設定_科目表!$B$2:$B$19,0),$B33))</f>
        <v>0</v>
      </c>
      <c r="R33" s="13" t="n">
        <f aca="false">IF($A33="",0,INDEX(設定_科目表!$F$2:$K$19,MATCH(R$1,設定_科目表!$B$2:$B$19,0),$B33))</f>
        <v>0</v>
      </c>
      <c r="S33" s="13" t="n">
        <f aca="false">IF($A33="",0,INDEX(設定_科目表!$F$2:$K$19,MATCH(S$1,設定_科目表!$B$2:$B$19,0),$B33))</f>
        <v>0</v>
      </c>
      <c r="T33" s="13" t="n">
        <f aca="false">IF($A33="",0,INDEX(設定_科目表!$F$2:$K$19,MATCH(T$1,設定_科目表!$B$2:$B$19,0),$B33))</f>
        <v>0</v>
      </c>
      <c r="U33" s="13" t="n">
        <f aca="false">IF($A33="",0,INDEX(設定_科目表!$F$2:$K$19,MATCH(U$1,設定_科目表!$B$2:$B$19,0),$B33))</f>
        <v>0</v>
      </c>
      <c r="V33" s="13" t="n">
        <f aca="false">SUM(D33:U33)</f>
        <v>0</v>
      </c>
      <c r="W33" s="13" t="str">
        <f aca="false">IF($A33="","",VLOOKUP($B33,設定_年段時段!$A$2:$AL$7,38,0))</f>
        <v/>
      </c>
      <c r="X33" s="13" t="str">
        <f aca="false">IF($A33="","",IF($V33=$W33,"✓","⚠不符"))</f>
        <v/>
      </c>
    </row>
    <row r="34" customFormat="false" ht="15" hidden="false" customHeight="true" outlineLevel="0" collapsed="false">
      <c r="A34" s="13" t="str">
        <f aca="false">IF(班級基本資料!A34="","",班級基本資料!A34)</f>
        <v/>
      </c>
      <c r="B34" s="13" t="str">
        <f aca="false">IF(班級基本資料!A34="","",班級基本資料!B34)</f>
        <v/>
      </c>
      <c r="C34" s="13" t="str">
        <f aca="false">IF(班級基本資料!A34="","",班級基本資料!C34)</f>
        <v/>
      </c>
      <c r="D34" s="13" t="n">
        <f aca="false">IF($A34="",0,INDEX(設定_科目表!$F$2:$K$19,MATCH(D$1,設定_科目表!$B$2:$B$19,0),$B34))</f>
        <v>0</v>
      </c>
      <c r="E34" s="13" t="n">
        <f aca="false">IF($A34="",0,INDEX(設定_科目表!$F$2:$K$19,MATCH(E$1,設定_科目表!$B$2:$B$19,0),$B34))</f>
        <v>0</v>
      </c>
      <c r="F34" s="13" t="n">
        <f aca="false">IF($A34="",0,INDEX(設定_科目表!$F$2:$K$19,MATCH(F$1,設定_科目表!$B$2:$B$19,0),$B34))</f>
        <v>0</v>
      </c>
      <c r="G34" s="13" t="n">
        <f aca="false">IF($A34="",0,INDEX(設定_科目表!$F$2:$K$19,MATCH(G$1,設定_科目表!$B$2:$B$19,0),$B34))</f>
        <v>0</v>
      </c>
      <c r="H34" s="13" t="n">
        <f aca="false">IF($A34="",0,INDEX(設定_科目表!$F$2:$K$19,MATCH(H$1,設定_科目表!$B$2:$B$19,0),$B34))</f>
        <v>0</v>
      </c>
      <c r="I34" s="13" t="n">
        <f aca="false">IF($A34="",0,INDEX(設定_科目表!$F$2:$K$19,MATCH(I$1,設定_科目表!$B$2:$B$19,0),$B34))</f>
        <v>0</v>
      </c>
      <c r="J34" s="13" t="n">
        <f aca="false">IF($A34="",0,INDEX(設定_科目表!$F$2:$K$19,MATCH(J$1,設定_科目表!$B$2:$B$19,0),$B34))</f>
        <v>0</v>
      </c>
      <c r="K34" s="13" t="n">
        <f aca="false">IF($A34="",0,INDEX(設定_科目表!$F$2:$K$19,MATCH(K$1,設定_科目表!$B$2:$B$19,0),$B34))</f>
        <v>0</v>
      </c>
      <c r="L34" s="13" t="n">
        <f aca="false">IF($A34="",0,INDEX(設定_科目表!$F$2:$K$19,MATCH(L$1,設定_科目表!$B$2:$B$19,0),$B34))</f>
        <v>0</v>
      </c>
      <c r="M34" s="13" t="n">
        <f aca="false">IF($A34="",0,INDEX(設定_科目表!$F$2:$K$19,MATCH(M$1,設定_科目表!$B$2:$B$19,0),$B34))</f>
        <v>0</v>
      </c>
      <c r="N34" s="13" t="n">
        <f aca="false">IF($A34="",0,INDEX(設定_科目表!$F$2:$K$19,MATCH(N$1,設定_科目表!$B$2:$B$19,0),$B34))</f>
        <v>0</v>
      </c>
      <c r="O34" s="13" t="n">
        <f aca="false">IF($A34="",0,INDEX(設定_科目表!$F$2:$K$19,MATCH(O$1,設定_科目表!$B$2:$B$19,0),$B34))</f>
        <v>0</v>
      </c>
      <c r="P34" s="13" t="n">
        <f aca="false">IF($A34="",0,INDEX(設定_科目表!$F$2:$K$19,MATCH(P$1,設定_科目表!$B$2:$B$19,0),$B34))</f>
        <v>0</v>
      </c>
      <c r="Q34" s="13" t="n">
        <f aca="false">IF($A34="",0,INDEX(設定_科目表!$F$2:$K$19,MATCH(Q$1,設定_科目表!$B$2:$B$19,0),$B34))</f>
        <v>0</v>
      </c>
      <c r="R34" s="13" t="n">
        <f aca="false">IF($A34="",0,INDEX(設定_科目表!$F$2:$K$19,MATCH(R$1,設定_科目表!$B$2:$B$19,0),$B34))</f>
        <v>0</v>
      </c>
      <c r="S34" s="13" t="n">
        <f aca="false">IF($A34="",0,INDEX(設定_科目表!$F$2:$K$19,MATCH(S$1,設定_科目表!$B$2:$B$19,0),$B34))</f>
        <v>0</v>
      </c>
      <c r="T34" s="13" t="n">
        <f aca="false">IF($A34="",0,INDEX(設定_科目表!$F$2:$K$19,MATCH(T$1,設定_科目表!$B$2:$B$19,0),$B34))</f>
        <v>0</v>
      </c>
      <c r="U34" s="13" t="n">
        <f aca="false">IF($A34="",0,INDEX(設定_科目表!$F$2:$K$19,MATCH(U$1,設定_科目表!$B$2:$B$19,0),$B34))</f>
        <v>0</v>
      </c>
      <c r="V34" s="13" t="n">
        <f aca="false">SUM(D34:U34)</f>
        <v>0</v>
      </c>
      <c r="W34" s="13" t="str">
        <f aca="false">IF($A34="","",VLOOKUP($B34,設定_年段時段!$A$2:$AL$7,38,0))</f>
        <v/>
      </c>
      <c r="X34" s="13" t="str">
        <f aca="false">IF($A34="","",IF($V34=$W34,"✓","⚠不符"))</f>
        <v/>
      </c>
    </row>
    <row r="35" customFormat="false" ht="15" hidden="false" customHeight="true" outlineLevel="0" collapsed="false">
      <c r="A35" s="13" t="str">
        <f aca="false">IF(班級基本資料!A35="","",班級基本資料!A35)</f>
        <v/>
      </c>
      <c r="B35" s="13" t="str">
        <f aca="false">IF(班級基本資料!A35="","",班級基本資料!B35)</f>
        <v/>
      </c>
      <c r="C35" s="13" t="str">
        <f aca="false">IF(班級基本資料!A35="","",班級基本資料!C35)</f>
        <v/>
      </c>
      <c r="D35" s="13" t="n">
        <f aca="false">IF($A35="",0,INDEX(設定_科目表!$F$2:$K$19,MATCH(D$1,設定_科目表!$B$2:$B$19,0),$B35))</f>
        <v>0</v>
      </c>
      <c r="E35" s="13" t="n">
        <f aca="false">IF($A35="",0,INDEX(設定_科目表!$F$2:$K$19,MATCH(E$1,設定_科目表!$B$2:$B$19,0),$B35))</f>
        <v>0</v>
      </c>
      <c r="F35" s="13" t="n">
        <f aca="false">IF($A35="",0,INDEX(設定_科目表!$F$2:$K$19,MATCH(F$1,設定_科目表!$B$2:$B$19,0),$B35))</f>
        <v>0</v>
      </c>
      <c r="G35" s="13" t="n">
        <f aca="false">IF($A35="",0,INDEX(設定_科目表!$F$2:$K$19,MATCH(G$1,設定_科目表!$B$2:$B$19,0),$B35))</f>
        <v>0</v>
      </c>
      <c r="H35" s="13" t="n">
        <f aca="false">IF($A35="",0,INDEX(設定_科目表!$F$2:$K$19,MATCH(H$1,設定_科目表!$B$2:$B$19,0),$B35))</f>
        <v>0</v>
      </c>
      <c r="I35" s="13" t="n">
        <f aca="false">IF($A35="",0,INDEX(設定_科目表!$F$2:$K$19,MATCH(I$1,設定_科目表!$B$2:$B$19,0),$B35))</f>
        <v>0</v>
      </c>
      <c r="J35" s="13" t="n">
        <f aca="false">IF($A35="",0,INDEX(設定_科目表!$F$2:$K$19,MATCH(J$1,設定_科目表!$B$2:$B$19,0),$B35))</f>
        <v>0</v>
      </c>
      <c r="K35" s="13" t="n">
        <f aca="false">IF($A35="",0,INDEX(設定_科目表!$F$2:$K$19,MATCH(K$1,設定_科目表!$B$2:$B$19,0),$B35))</f>
        <v>0</v>
      </c>
      <c r="L35" s="13" t="n">
        <f aca="false">IF($A35="",0,INDEX(設定_科目表!$F$2:$K$19,MATCH(L$1,設定_科目表!$B$2:$B$19,0),$B35))</f>
        <v>0</v>
      </c>
      <c r="M35" s="13" t="n">
        <f aca="false">IF($A35="",0,INDEX(設定_科目表!$F$2:$K$19,MATCH(M$1,設定_科目表!$B$2:$B$19,0),$B35))</f>
        <v>0</v>
      </c>
      <c r="N35" s="13" t="n">
        <f aca="false">IF($A35="",0,INDEX(設定_科目表!$F$2:$K$19,MATCH(N$1,設定_科目表!$B$2:$B$19,0),$B35))</f>
        <v>0</v>
      </c>
      <c r="O35" s="13" t="n">
        <f aca="false">IF($A35="",0,INDEX(設定_科目表!$F$2:$K$19,MATCH(O$1,設定_科目表!$B$2:$B$19,0),$B35))</f>
        <v>0</v>
      </c>
      <c r="P35" s="13" t="n">
        <f aca="false">IF($A35="",0,INDEX(設定_科目表!$F$2:$K$19,MATCH(P$1,設定_科目表!$B$2:$B$19,0),$B35))</f>
        <v>0</v>
      </c>
      <c r="Q35" s="13" t="n">
        <f aca="false">IF($A35="",0,INDEX(設定_科目表!$F$2:$K$19,MATCH(Q$1,設定_科目表!$B$2:$B$19,0),$B35))</f>
        <v>0</v>
      </c>
      <c r="R35" s="13" t="n">
        <f aca="false">IF($A35="",0,INDEX(設定_科目表!$F$2:$K$19,MATCH(R$1,設定_科目表!$B$2:$B$19,0),$B35))</f>
        <v>0</v>
      </c>
      <c r="S35" s="13" t="n">
        <f aca="false">IF($A35="",0,INDEX(設定_科目表!$F$2:$K$19,MATCH(S$1,設定_科目表!$B$2:$B$19,0),$B35))</f>
        <v>0</v>
      </c>
      <c r="T35" s="13" t="n">
        <f aca="false">IF($A35="",0,INDEX(設定_科目表!$F$2:$K$19,MATCH(T$1,設定_科目表!$B$2:$B$19,0),$B35))</f>
        <v>0</v>
      </c>
      <c r="U35" s="13" t="n">
        <f aca="false">IF($A35="",0,INDEX(設定_科目表!$F$2:$K$19,MATCH(U$1,設定_科目表!$B$2:$B$19,0),$B35))</f>
        <v>0</v>
      </c>
      <c r="V35" s="13" t="n">
        <f aca="false">SUM(D35:U35)</f>
        <v>0</v>
      </c>
      <c r="W35" s="13" t="str">
        <f aca="false">IF($A35="","",VLOOKUP($B35,設定_年段時段!$A$2:$AL$7,38,0))</f>
        <v/>
      </c>
      <c r="X35" s="13" t="str">
        <f aca="false">IF($A35="","",IF($V35=$W35,"✓","⚠不符"))</f>
        <v/>
      </c>
    </row>
    <row r="36" customFormat="false" ht="15" hidden="false" customHeight="true" outlineLevel="0" collapsed="false">
      <c r="A36" s="13" t="str">
        <f aca="false">IF(班級基本資料!A36="","",班級基本資料!A36)</f>
        <v/>
      </c>
      <c r="B36" s="13" t="str">
        <f aca="false">IF(班級基本資料!A36="","",班級基本資料!B36)</f>
        <v/>
      </c>
      <c r="C36" s="13" t="str">
        <f aca="false">IF(班級基本資料!A36="","",班級基本資料!C36)</f>
        <v/>
      </c>
      <c r="D36" s="13" t="n">
        <f aca="false">IF($A36="",0,INDEX(設定_科目表!$F$2:$K$19,MATCH(D$1,設定_科目表!$B$2:$B$19,0),$B36))</f>
        <v>0</v>
      </c>
      <c r="E36" s="13" t="n">
        <f aca="false">IF($A36="",0,INDEX(設定_科目表!$F$2:$K$19,MATCH(E$1,設定_科目表!$B$2:$B$19,0),$B36))</f>
        <v>0</v>
      </c>
      <c r="F36" s="13" t="n">
        <f aca="false">IF($A36="",0,INDEX(設定_科目表!$F$2:$K$19,MATCH(F$1,設定_科目表!$B$2:$B$19,0),$B36))</f>
        <v>0</v>
      </c>
      <c r="G36" s="13" t="n">
        <f aca="false">IF($A36="",0,INDEX(設定_科目表!$F$2:$K$19,MATCH(G$1,設定_科目表!$B$2:$B$19,0),$B36))</f>
        <v>0</v>
      </c>
      <c r="H36" s="13" t="n">
        <f aca="false">IF($A36="",0,INDEX(設定_科目表!$F$2:$K$19,MATCH(H$1,設定_科目表!$B$2:$B$19,0),$B36))</f>
        <v>0</v>
      </c>
      <c r="I36" s="13" t="n">
        <f aca="false">IF($A36="",0,INDEX(設定_科目表!$F$2:$K$19,MATCH(I$1,設定_科目表!$B$2:$B$19,0),$B36))</f>
        <v>0</v>
      </c>
      <c r="J36" s="13" t="n">
        <f aca="false">IF($A36="",0,INDEX(設定_科目表!$F$2:$K$19,MATCH(J$1,設定_科目表!$B$2:$B$19,0),$B36))</f>
        <v>0</v>
      </c>
      <c r="K36" s="13" t="n">
        <f aca="false">IF($A36="",0,INDEX(設定_科目表!$F$2:$K$19,MATCH(K$1,設定_科目表!$B$2:$B$19,0),$B36))</f>
        <v>0</v>
      </c>
      <c r="L36" s="13" t="n">
        <f aca="false">IF($A36="",0,INDEX(設定_科目表!$F$2:$K$19,MATCH(L$1,設定_科目表!$B$2:$B$19,0),$B36))</f>
        <v>0</v>
      </c>
      <c r="M36" s="13" t="n">
        <f aca="false">IF($A36="",0,INDEX(設定_科目表!$F$2:$K$19,MATCH(M$1,設定_科目表!$B$2:$B$19,0),$B36))</f>
        <v>0</v>
      </c>
      <c r="N36" s="13" t="n">
        <f aca="false">IF($A36="",0,INDEX(設定_科目表!$F$2:$K$19,MATCH(N$1,設定_科目表!$B$2:$B$19,0),$B36))</f>
        <v>0</v>
      </c>
      <c r="O36" s="13" t="n">
        <f aca="false">IF($A36="",0,INDEX(設定_科目表!$F$2:$K$19,MATCH(O$1,設定_科目表!$B$2:$B$19,0),$B36))</f>
        <v>0</v>
      </c>
      <c r="P36" s="13" t="n">
        <f aca="false">IF($A36="",0,INDEX(設定_科目表!$F$2:$K$19,MATCH(P$1,設定_科目表!$B$2:$B$19,0),$B36))</f>
        <v>0</v>
      </c>
      <c r="Q36" s="13" t="n">
        <f aca="false">IF($A36="",0,INDEX(設定_科目表!$F$2:$K$19,MATCH(Q$1,設定_科目表!$B$2:$B$19,0),$B36))</f>
        <v>0</v>
      </c>
      <c r="R36" s="13" t="n">
        <f aca="false">IF($A36="",0,INDEX(設定_科目表!$F$2:$K$19,MATCH(R$1,設定_科目表!$B$2:$B$19,0),$B36))</f>
        <v>0</v>
      </c>
      <c r="S36" s="13" t="n">
        <f aca="false">IF($A36="",0,INDEX(設定_科目表!$F$2:$K$19,MATCH(S$1,設定_科目表!$B$2:$B$19,0),$B36))</f>
        <v>0</v>
      </c>
      <c r="T36" s="13" t="n">
        <f aca="false">IF($A36="",0,INDEX(設定_科目表!$F$2:$K$19,MATCH(T$1,設定_科目表!$B$2:$B$19,0),$B36))</f>
        <v>0</v>
      </c>
      <c r="U36" s="13" t="n">
        <f aca="false">IF($A36="",0,INDEX(設定_科目表!$F$2:$K$19,MATCH(U$1,設定_科目表!$B$2:$B$19,0),$B36))</f>
        <v>0</v>
      </c>
      <c r="V36" s="13" t="n">
        <f aca="false">SUM(D36:U36)</f>
        <v>0</v>
      </c>
      <c r="W36" s="13" t="str">
        <f aca="false">IF($A36="","",VLOOKUP($B36,設定_年段時段!$A$2:$AL$7,38,0))</f>
        <v/>
      </c>
      <c r="X36" s="13" t="str">
        <f aca="false">IF($A36="","",IF($V36=$W36,"✓","⚠不符"))</f>
        <v/>
      </c>
    </row>
    <row r="37" customFormat="false" ht="15" hidden="false" customHeight="true" outlineLevel="0" collapsed="false">
      <c r="A37" s="13" t="str">
        <f aca="false">IF(班級基本資料!A37="","",班級基本資料!A37)</f>
        <v/>
      </c>
      <c r="B37" s="13" t="str">
        <f aca="false">IF(班級基本資料!A37="","",班級基本資料!B37)</f>
        <v/>
      </c>
      <c r="C37" s="13" t="str">
        <f aca="false">IF(班級基本資料!A37="","",班級基本資料!C37)</f>
        <v/>
      </c>
      <c r="D37" s="13" t="n">
        <f aca="false">IF($A37="",0,INDEX(設定_科目表!$F$2:$K$19,MATCH(D$1,設定_科目表!$B$2:$B$19,0),$B37))</f>
        <v>0</v>
      </c>
      <c r="E37" s="13" t="n">
        <f aca="false">IF($A37="",0,INDEX(設定_科目表!$F$2:$K$19,MATCH(E$1,設定_科目表!$B$2:$B$19,0),$B37))</f>
        <v>0</v>
      </c>
      <c r="F37" s="13" t="n">
        <f aca="false">IF($A37="",0,INDEX(設定_科目表!$F$2:$K$19,MATCH(F$1,設定_科目表!$B$2:$B$19,0),$B37))</f>
        <v>0</v>
      </c>
      <c r="G37" s="13" t="n">
        <f aca="false">IF($A37="",0,INDEX(設定_科目表!$F$2:$K$19,MATCH(G$1,設定_科目表!$B$2:$B$19,0),$B37))</f>
        <v>0</v>
      </c>
      <c r="H37" s="13" t="n">
        <f aca="false">IF($A37="",0,INDEX(設定_科目表!$F$2:$K$19,MATCH(H$1,設定_科目表!$B$2:$B$19,0),$B37))</f>
        <v>0</v>
      </c>
      <c r="I37" s="13" t="n">
        <f aca="false">IF($A37="",0,INDEX(設定_科目表!$F$2:$K$19,MATCH(I$1,設定_科目表!$B$2:$B$19,0),$B37))</f>
        <v>0</v>
      </c>
      <c r="J37" s="13" t="n">
        <f aca="false">IF($A37="",0,INDEX(設定_科目表!$F$2:$K$19,MATCH(J$1,設定_科目表!$B$2:$B$19,0),$B37))</f>
        <v>0</v>
      </c>
      <c r="K37" s="13" t="n">
        <f aca="false">IF($A37="",0,INDEX(設定_科目表!$F$2:$K$19,MATCH(K$1,設定_科目表!$B$2:$B$19,0),$B37))</f>
        <v>0</v>
      </c>
      <c r="L37" s="13" t="n">
        <f aca="false">IF($A37="",0,INDEX(設定_科目表!$F$2:$K$19,MATCH(L$1,設定_科目表!$B$2:$B$19,0),$B37))</f>
        <v>0</v>
      </c>
      <c r="M37" s="13" t="n">
        <f aca="false">IF($A37="",0,INDEX(設定_科目表!$F$2:$K$19,MATCH(M$1,設定_科目表!$B$2:$B$19,0),$B37))</f>
        <v>0</v>
      </c>
      <c r="N37" s="13" t="n">
        <f aca="false">IF($A37="",0,INDEX(設定_科目表!$F$2:$K$19,MATCH(N$1,設定_科目表!$B$2:$B$19,0),$B37))</f>
        <v>0</v>
      </c>
      <c r="O37" s="13" t="n">
        <f aca="false">IF($A37="",0,INDEX(設定_科目表!$F$2:$K$19,MATCH(O$1,設定_科目表!$B$2:$B$19,0),$B37))</f>
        <v>0</v>
      </c>
      <c r="P37" s="13" t="n">
        <f aca="false">IF($A37="",0,INDEX(設定_科目表!$F$2:$K$19,MATCH(P$1,設定_科目表!$B$2:$B$19,0),$B37))</f>
        <v>0</v>
      </c>
      <c r="Q37" s="13" t="n">
        <f aca="false">IF($A37="",0,INDEX(設定_科目表!$F$2:$K$19,MATCH(Q$1,設定_科目表!$B$2:$B$19,0),$B37))</f>
        <v>0</v>
      </c>
      <c r="R37" s="13" t="n">
        <f aca="false">IF($A37="",0,INDEX(設定_科目表!$F$2:$K$19,MATCH(R$1,設定_科目表!$B$2:$B$19,0),$B37))</f>
        <v>0</v>
      </c>
      <c r="S37" s="13" t="n">
        <f aca="false">IF($A37="",0,INDEX(設定_科目表!$F$2:$K$19,MATCH(S$1,設定_科目表!$B$2:$B$19,0),$B37))</f>
        <v>0</v>
      </c>
      <c r="T37" s="13" t="n">
        <f aca="false">IF($A37="",0,INDEX(設定_科目表!$F$2:$K$19,MATCH(T$1,設定_科目表!$B$2:$B$19,0),$B37))</f>
        <v>0</v>
      </c>
      <c r="U37" s="13" t="n">
        <f aca="false">IF($A37="",0,INDEX(設定_科目表!$F$2:$K$19,MATCH(U$1,設定_科目表!$B$2:$B$19,0),$B37))</f>
        <v>0</v>
      </c>
      <c r="V37" s="13" t="n">
        <f aca="false">SUM(D37:U37)</f>
        <v>0</v>
      </c>
      <c r="W37" s="13" t="str">
        <f aca="false">IF($A37="","",VLOOKUP($B37,設定_年段時段!$A$2:$AL$7,38,0))</f>
        <v/>
      </c>
      <c r="X37" s="13" t="str">
        <f aca="false">IF($A37="","",IF($V37=$W37,"✓","⚠不符"))</f>
        <v/>
      </c>
    </row>
    <row r="38" customFormat="false" ht="15" hidden="false" customHeight="true" outlineLevel="0" collapsed="false">
      <c r="A38" s="13" t="str">
        <f aca="false">IF(班級基本資料!A38="","",班級基本資料!A38)</f>
        <v/>
      </c>
      <c r="B38" s="13" t="str">
        <f aca="false">IF(班級基本資料!A38="","",班級基本資料!B38)</f>
        <v/>
      </c>
      <c r="C38" s="13" t="str">
        <f aca="false">IF(班級基本資料!A38="","",班級基本資料!C38)</f>
        <v/>
      </c>
      <c r="D38" s="13" t="n">
        <f aca="false">IF($A38="",0,INDEX(設定_科目表!$F$2:$K$19,MATCH(D$1,設定_科目表!$B$2:$B$19,0),$B38))</f>
        <v>0</v>
      </c>
      <c r="E38" s="13" t="n">
        <f aca="false">IF($A38="",0,INDEX(設定_科目表!$F$2:$K$19,MATCH(E$1,設定_科目表!$B$2:$B$19,0),$B38))</f>
        <v>0</v>
      </c>
      <c r="F38" s="13" t="n">
        <f aca="false">IF($A38="",0,INDEX(設定_科目表!$F$2:$K$19,MATCH(F$1,設定_科目表!$B$2:$B$19,0),$B38))</f>
        <v>0</v>
      </c>
      <c r="G38" s="13" t="n">
        <f aca="false">IF($A38="",0,INDEX(設定_科目表!$F$2:$K$19,MATCH(G$1,設定_科目表!$B$2:$B$19,0),$B38))</f>
        <v>0</v>
      </c>
      <c r="H38" s="13" t="n">
        <f aca="false">IF($A38="",0,INDEX(設定_科目表!$F$2:$K$19,MATCH(H$1,設定_科目表!$B$2:$B$19,0),$B38))</f>
        <v>0</v>
      </c>
      <c r="I38" s="13" t="n">
        <f aca="false">IF($A38="",0,INDEX(設定_科目表!$F$2:$K$19,MATCH(I$1,設定_科目表!$B$2:$B$19,0),$B38))</f>
        <v>0</v>
      </c>
      <c r="J38" s="13" t="n">
        <f aca="false">IF($A38="",0,INDEX(設定_科目表!$F$2:$K$19,MATCH(J$1,設定_科目表!$B$2:$B$19,0),$B38))</f>
        <v>0</v>
      </c>
      <c r="K38" s="13" t="n">
        <f aca="false">IF($A38="",0,INDEX(設定_科目表!$F$2:$K$19,MATCH(K$1,設定_科目表!$B$2:$B$19,0),$B38))</f>
        <v>0</v>
      </c>
      <c r="L38" s="13" t="n">
        <f aca="false">IF($A38="",0,INDEX(設定_科目表!$F$2:$K$19,MATCH(L$1,設定_科目表!$B$2:$B$19,0),$B38))</f>
        <v>0</v>
      </c>
      <c r="M38" s="13" t="n">
        <f aca="false">IF($A38="",0,INDEX(設定_科目表!$F$2:$K$19,MATCH(M$1,設定_科目表!$B$2:$B$19,0),$B38))</f>
        <v>0</v>
      </c>
      <c r="N38" s="13" t="n">
        <f aca="false">IF($A38="",0,INDEX(設定_科目表!$F$2:$K$19,MATCH(N$1,設定_科目表!$B$2:$B$19,0),$B38))</f>
        <v>0</v>
      </c>
      <c r="O38" s="13" t="n">
        <f aca="false">IF($A38="",0,INDEX(設定_科目表!$F$2:$K$19,MATCH(O$1,設定_科目表!$B$2:$B$19,0),$B38))</f>
        <v>0</v>
      </c>
      <c r="P38" s="13" t="n">
        <f aca="false">IF($A38="",0,INDEX(設定_科目表!$F$2:$K$19,MATCH(P$1,設定_科目表!$B$2:$B$19,0),$B38))</f>
        <v>0</v>
      </c>
      <c r="Q38" s="13" t="n">
        <f aca="false">IF($A38="",0,INDEX(設定_科目表!$F$2:$K$19,MATCH(Q$1,設定_科目表!$B$2:$B$19,0),$B38))</f>
        <v>0</v>
      </c>
      <c r="R38" s="13" t="n">
        <f aca="false">IF($A38="",0,INDEX(設定_科目表!$F$2:$K$19,MATCH(R$1,設定_科目表!$B$2:$B$19,0),$B38))</f>
        <v>0</v>
      </c>
      <c r="S38" s="13" t="n">
        <f aca="false">IF($A38="",0,INDEX(設定_科目表!$F$2:$K$19,MATCH(S$1,設定_科目表!$B$2:$B$19,0),$B38))</f>
        <v>0</v>
      </c>
      <c r="T38" s="13" t="n">
        <f aca="false">IF($A38="",0,INDEX(設定_科目表!$F$2:$K$19,MATCH(T$1,設定_科目表!$B$2:$B$19,0),$B38))</f>
        <v>0</v>
      </c>
      <c r="U38" s="13" t="n">
        <f aca="false">IF($A38="",0,INDEX(設定_科目表!$F$2:$K$19,MATCH(U$1,設定_科目表!$B$2:$B$19,0),$B38))</f>
        <v>0</v>
      </c>
      <c r="V38" s="13" t="n">
        <f aca="false">SUM(D38:U38)</f>
        <v>0</v>
      </c>
      <c r="W38" s="13" t="str">
        <f aca="false">IF($A38="","",VLOOKUP($B38,設定_年段時段!$A$2:$AL$7,38,0))</f>
        <v/>
      </c>
      <c r="X38" s="13" t="str">
        <f aca="false">IF($A38="","",IF($V38=$W38,"✓","⚠不符"))</f>
        <v/>
      </c>
    </row>
    <row r="39" customFormat="false" ht="15" hidden="false" customHeight="true" outlineLevel="0" collapsed="false">
      <c r="A39" s="13" t="str">
        <f aca="false">IF(班級基本資料!A39="","",班級基本資料!A39)</f>
        <v/>
      </c>
      <c r="B39" s="13" t="str">
        <f aca="false">IF(班級基本資料!A39="","",班級基本資料!B39)</f>
        <v/>
      </c>
      <c r="C39" s="13" t="str">
        <f aca="false">IF(班級基本資料!A39="","",班級基本資料!C39)</f>
        <v/>
      </c>
      <c r="D39" s="13" t="n">
        <f aca="false">IF($A39="",0,INDEX(設定_科目表!$F$2:$K$19,MATCH(D$1,設定_科目表!$B$2:$B$19,0),$B39))</f>
        <v>0</v>
      </c>
      <c r="E39" s="13" t="n">
        <f aca="false">IF($A39="",0,INDEX(設定_科目表!$F$2:$K$19,MATCH(E$1,設定_科目表!$B$2:$B$19,0),$B39))</f>
        <v>0</v>
      </c>
      <c r="F39" s="13" t="n">
        <f aca="false">IF($A39="",0,INDEX(設定_科目表!$F$2:$K$19,MATCH(F$1,設定_科目表!$B$2:$B$19,0),$B39))</f>
        <v>0</v>
      </c>
      <c r="G39" s="13" t="n">
        <f aca="false">IF($A39="",0,INDEX(設定_科目表!$F$2:$K$19,MATCH(G$1,設定_科目表!$B$2:$B$19,0),$B39))</f>
        <v>0</v>
      </c>
      <c r="H39" s="13" t="n">
        <f aca="false">IF($A39="",0,INDEX(設定_科目表!$F$2:$K$19,MATCH(H$1,設定_科目表!$B$2:$B$19,0),$B39))</f>
        <v>0</v>
      </c>
      <c r="I39" s="13" t="n">
        <f aca="false">IF($A39="",0,INDEX(設定_科目表!$F$2:$K$19,MATCH(I$1,設定_科目表!$B$2:$B$19,0),$B39))</f>
        <v>0</v>
      </c>
      <c r="J39" s="13" t="n">
        <f aca="false">IF($A39="",0,INDEX(設定_科目表!$F$2:$K$19,MATCH(J$1,設定_科目表!$B$2:$B$19,0),$B39))</f>
        <v>0</v>
      </c>
      <c r="K39" s="13" t="n">
        <f aca="false">IF($A39="",0,INDEX(設定_科目表!$F$2:$K$19,MATCH(K$1,設定_科目表!$B$2:$B$19,0),$B39))</f>
        <v>0</v>
      </c>
      <c r="L39" s="13" t="n">
        <f aca="false">IF($A39="",0,INDEX(設定_科目表!$F$2:$K$19,MATCH(L$1,設定_科目表!$B$2:$B$19,0),$B39))</f>
        <v>0</v>
      </c>
      <c r="M39" s="13" t="n">
        <f aca="false">IF($A39="",0,INDEX(設定_科目表!$F$2:$K$19,MATCH(M$1,設定_科目表!$B$2:$B$19,0),$B39))</f>
        <v>0</v>
      </c>
      <c r="N39" s="13" t="n">
        <f aca="false">IF($A39="",0,INDEX(設定_科目表!$F$2:$K$19,MATCH(N$1,設定_科目表!$B$2:$B$19,0),$B39))</f>
        <v>0</v>
      </c>
      <c r="O39" s="13" t="n">
        <f aca="false">IF($A39="",0,INDEX(設定_科目表!$F$2:$K$19,MATCH(O$1,設定_科目表!$B$2:$B$19,0),$B39))</f>
        <v>0</v>
      </c>
      <c r="P39" s="13" t="n">
        <f aca="false">IF($A39="",0,INDEX(設定_科目表!$F$2:$K$19,MATCH(P$1,設定_科目表!$B$2:$B$19,0),$B39))</f>
        <v>0</v>
      </c>
      <c r="Q39" s="13" t="n">
        <f aca="false">IF($A39="",0,INDEX(設定_科目表!$F$2:$K$19,MATCH(Q$1,設定_科目表!$B$2:$B$19,0),$B39))</f>
        <v>0</v>
      </c>
      <c r="R39" s="13" t="n">
        <f aca="false">IF($A39="",0,INDEX(設定_科目表!$F$2:$K$19,MATCH(R$1,設定_科目表!$B$2:$B$19,0),$B39))</f>
        <v>0</v>
      </c>
      <c r="S39" s="13" t="n">
        <f aca="false">IF($A39="",0,INDEX(設定_科目表!$F$2:$K$19,MATCH(S$1,設定_科目表!$B$2:$B$19,0),$B39))</f>
        <v>0</v>
      </c>
      <c r="T39" s="13" t="n">
        <f aca="false">IF($A39="",0,INDEX(設定_科目表!$F$2:$K$19,MATCH(T$1,設定_科目表!$B$2:$B$19,0),$B39))</f>
        <v>0</v>
      </c>
      <c r="U39" s="13" t="n">
        <f aca="false">IF($A39="",0,INDEX(設定_科目表!$F$2:$K$19,MATCH(U$1,設定_科目表!$B$2:$B$19,0),$B39))</f>
        <v>0</v>
      </c>
      <c r="V39" s="13" t="n">
        <f aca="false">SUM(D39:U39)</f>
        <v>0</v>
      </c>
      <c r="W39" s="13" t="str">
        <f aca="false">IF($A39="","",VLOOKUP($B39,設定_年段時段!$A$2:$AL$7,38,0))</f>
        <v/>
      </c>
      <c r="X39" s="13" t="str">
        <f aca="false">IF($A39="","",IF($V39=$W39,"✓","⚠不符"))</f>
        <v/>
      </c>
    </row>
    <row r="40" customFormat="false" ht="15" hidden="false" customHeight="true" outlineLevel="0" collapsed="false">
      <c r="A40" s="13" t="str">
        <f aca="false">IF(班級基本資料!A40="","",班級基本資料!A40)</f>
        <v/>
      </c>
      <c r="B40" s="13" t="str">
        <f aca="false">IF(班級基本資料!A40="","",班級基本資料!B40)</f>
        <v/>
      </c>
      <c r="C40" s="13" t="str">
        <f aca="false">IF(班級基本資料!A40="","",班級基本資料!C40)</f>
        <v/>
      </c>
      <c r="D40" s="13" t="n">
        <f aca="false">IF($A40="",0,INDEX(設定_科目表!$F$2:$K$19,MATCH(D$1,設定_科目表!$B$2:$B$19,0),$B40))</f>
        <v>0</v>
      </c>
      <c r="E40" s="13" t="n">
        <f aca="false">IF($A40="",0,INDEX(設定_科目表!$F$2:$K$19,MATCH(E$1,設定_科目表!$B$2:$B$19,0),$B40))</f>
        <v>0</v>
      </c>
      <c r="F40" s="13" t="n">
        <f aca="false">IF($A40="",0,INDEX(設定_科目表!$F$2:$K$19,MATCH(F$1,設定_科目表!$B$2:$B$19,0),$B40))</f>
        <v>0</v>
      </c>
      <c r="G40" s="13" t="n">
        <f aca="false">IF($A40="",0,INDEX(設定_科目表!$F$2:$K$19,MATCH(G$1,設定_科目表!$B$2:$B$19,0),$B40))</f>
        <v>0</v>
      </c>
      <c r="H40" s="13" t="n">
        <f aca="false">IF($A40="",0,INDEX(設定_科目表!$F$2:$K$19,MATCH(H$1,設定_科目表!$B$2:$B$19,0),$B40))</f>
        <v>0</v>
      </c>
      <c r="I40" s="13" t="n">
        <f aca="false">IF($A40="",0,INDEX(設定_科目表!$F$2:$K$19,MATCH(I$1,設定_科目表!$B$2:$B$19,0),$B40))</f>
        <v>0</v>
      </c>
      <c r="J40" s="13" t="n">
        <f aca="false">IF($A40="",0,INDEX(設定_科目表!$F$2:$K$19,MATCH(J$1,設定_科目表!$B$2:$B$19,0),$B40))</f>
        <v>0</v>
      </c>
      <c r="K40" s="13" t="n">
        <f aca="false">IF($A40="",0,INDEX(設定_科目表!$F$2:$K$19,MATCH(K$1,設定_科目表!$B$2:$B$19,0),$B40))</f>
        <v>0</v>
      </c>
      <c r="L40" s="13" t="n">
        <f aca="false">IF($A40="",0,INDEX(設定_科目表!$F$2:$K$19,MATCH(L$1,設定_科目表!$B$2:$B$19,0),$B40))</f>
        <v>0</v>
      </c>
      <c r="M40" s="13" t="n">
        <f aca="false">IF($A40="",0,INDEX(設定_科目表!$F$2:$K$19,MATCH(M$1,設定_科目表!$B$2:$B$19,0),$B40))</f>
        <v>0</v>
      </c>
      <c r="N40" s="13" t="n">
        <f aca="false">IF($A40="",0,INDEX(設定_科目表!$F$2:$K$19,MATCH(N$1,設定_科目表!$B$2:$B$19,0),$B40))</f>
        <v>0</v>
      </c>
      <c r="O40" s="13" t="n">
        <f aca="false">IF($A40="",0,INDEX(設定_科目表!$F$2:$K$19,MATCH(O$1,設定_科目表!$B$2:$B$19,0),$B40))</f>
        <v>0</v>
      </c>
      <c r="P40" s="13" t="n">
        <f aca="false">IF($A40="",0,INDEX(設定_科目表!$F$2:$K$19,MATCH(P$1,設定_科目表!$B$2:$B$19,0),$B40))</f>
        <v>0</v>
      </c>
      <c r="Q40" s="13" t="n">
        <f aca="false">IF($A40="",0,INDEX(設定_科目表!$F$2:$K$19,MATCH(Q$1,設定_科目表!$B$2:$B$19,0),$B40))</f>
        <v>0</v>
      </c>
      <c r="R40" s="13" t="n">
        <f aca="false">IF($A40="",0,INDEX(設定_科目表!$F$2:$K$19,MATCH(R$1,設定_科目表!$B$2:$B$19,0),$B40))</f>
        <v>0</v>
      </c>
      <c r="S40" s="13" t="n">
        <f aca="false">IF($A40="",0,INDEX(設定_科目表!$F$2:$K$19,MATCH(S$1,設定_科目表!$B$2:$B$19,0),$B40))</f>
        <v>0</v>
      </c>
      <c r="T40" s="13" t="n">
        <f aca="false">IF($A40="",0,INDEX(設定_科目表!$F$2:$K$19,MATCH(T$1,設定_科目表!$B$2:$B$19,0),$B40))</f>
        <v>0</v>
      </c>
      <c r="U40" s="13" t="n">
        <f aca="false">IF($A40="",0,INDEX(設定_科目表!$F$2:$K$19,MATCH(U$1,設定_科目表!$B$2:$B$19,0),$B40))</f>
        <v>0</v>
      </c>
      <c r="V40" s="13" t="n">
        <f aca="false">SUM(D40:U40)</f>
        <v>0</v>
      </c>
      <c r="W40" s="13" t="str">
        <f aca="false">IF($A40="","",VLOOKUP($B40,設定_年段時段!$A$2:$AL$7,38,0))</f>
        <v/>
      </c>
      <c r="X40" s="13" t="str">
        <f aca="false">IF($A40="","",IF($V40=$W40,"✓","⚠不符"))</f>
        <v/>
      </c>
    </row>
    <row r="41" customFormat="false" ht="15" hidden="false" customHeight="true" outlineLevel="0" collapsed="false">
      <c r="A41" s="13" t="str">
        <f aca="false">IF(班級基本資料!A41="","",班級基本資料!A41)</f>
        <v/>
      </c>
      <c r="B41" s="13" t="str">
        <f aca="false">IF(班級基本資料!A41="","",班級基本資料!B41)</f>
        <v/>
      </c>
      <c r="C41" s="13" t="str">
        <f aca="false">IF(班級基本資料!A41="","",班級基本資料!C41)</f>
        <v/>
      </c>
      <c r="D41" s="13" t="n">
        <f aca="false">IF($A41="",0,INDEX(設定_科目表!$F$2:$K$19,MATCH(D$1,設定_科目表!$B$2:$B$19,0),$B41))</f>
        <v>0</v>
      </c>
      <c r="E41" s="13" t="n">
        <f aca="false">IF($A41="",0,INDEX(設定_科目表!$F$2:$K$19,MATCH(E$1,設定_科目表!$B$2:$B$19,0),$B41))</f>
        <v>0</v>
      </c>
      <c r="F41" s="13" t="n">
        <f aca="false">IF($A41="",0,INDEX(設定_科目表!$F$2:$K$19,MATCH(F$1,設定_科目表!$B$2:$B$19,0),$B41))</f>
        <v>0</v>
      </c>
      <c r="G41" s="13" t="n">
        <f aca="false">IF($A41="",0,INDEX(設定_科目表!$F$2:$K$19,MATCH(G$1,設定_科目表!$B$2:$B$19,0),$B41))</f>
        <v>0</v>
      </c>
      <c r="H41" s="13" t="n">
        <f aca="false">IF($A41="",0,INDEX(設定_科目表!$F$2:$K$19,MATCH(H$1,設定_科目表!$B$2:$B$19,0),$B41))</f>
        <v>0</v>
      </c>
      <c r="I41" s="13" t="n">
        <f aca="false">IF($A41="",0,INDEX(設定_科目表!$F$2:$K$19,MATCH(I$1,設定_科目表!$B$2:$B$19,0),$B41))</f>
        <v>0</v>
      </c>
      <c r="J41" s="13" t="n">
        <f aca="false">IF($A41="",0,INDEX(設定_科目表!$F$2:$K$19,MATCH(J$1,設定_科目表!$B$2:$B$19,0),$B41))</f>
        <v>0</v>
      </c>
      <c r="K41" s="13" t="n">
        <f aca="false">IF($A41="",0,INDEX(設定_科目表!$F$2:$K$19,MATCH(K$1,設定_科目表!$B$2:$B$19,0),$B41))</f>
        <v>0</v>
      </c>
      <c r="L41" s="13" t="n">
        <f aca="false">IF($A41="",0,INDEX(設定_科目表!$F$2:$K$19,MATCH(L$1,設定_科目表!$B$2:$B$19,0),$B41))</f>
        <v>0</v>
      </c>
      <c r="M41" s="13" t="n">
        <f aca="false">IF($A41="",0,INDEX(設定_科目表!$F$2:$K$19,MATCH(M$1,設定_科目表!$B$2:$B$19,0),$B41))</f>
        <v>0</v>
      </c>
      <c r="N41" s="13" t="n">
        <f aca="false">IF($A41="",0,INDEX(設定_科目表!$F$2:$K$19,MATCH(N$1,設定_科目表!$B$2:$B$19,0),$B41))</f>
        <v>0</v>
      </c>
      <c r="O41" s="13" t="n">
        <f aca="false">IF($A41="",0,INDEX(設定_科目表!$F$2:$K$19,MATCH(O$1,設定_科目表!$B$2:$B$19,0),$B41))</f>
        <v>0</v>
      </c>
      <c r="P41" s="13" t="n">
        <f aca="false">IF($A41="",0,INDEX(設定_科目表!$F$2:$K$19,MATCH(P$1,設定_科目表!$B$2:$B$19,0),$B41))</f>
        <v>0</v>
      </c>
      <c r="Q41" s="13" t="n">
        <f aca="false">IF($A41="",0,INDEX(設定_科目表!$F$2:$K$19,MATCH(Q$1,設定_科目表!$B$2:$B$19,0),$B41))</f>
        <v>0</v>
      </c>
      <c r="R41" s="13" t="n">
        <f aca="false">IF($A41="",0,INDEX(設定_科目表!$F$2:$K$19,MATCH(R$1,設定_科目表!$B$2:$B$19,0),$B41))</f>
        <v>0</v>
      </c>
      <c r="S41" s="13" t="n">
        <f aca="false">IF($A41="",0,INDEX(設定_科目表!$F$2:$K$19,MATCH(S$1,設定_科目表!$B$2:$B$19,0),$B41))</f>
        <v>0</v>
      </c>
      <c r="T41" s="13" t="n">
        <f aca="false">IF($A41="",0,INDEX(設定_科目表!$F$2:$K$19,MATCH(T$1,設定_科目表!$B$2:$B$19,0),$B41))</f>
        <v>0</v>
      </c>
      <c r="U41" s="13" t="n">
        <f aca="false">IF($A41="",0,INDEX(設定_科目表!$F$2:$K$19,MATCH(U$1,設定_科目表!$B$2:$B$19,0),$B41))</f>
        <v>0</v>
      </c>
      <c r="V41" s="13" t="n">
        <f aca="false">SUM(D41:U41)</f>
        <v>0</v>
      </c>
      <c r="W41" s="13" t="str">
        <f aca="false">IF($A41="","",VLOOKUP($B41,設定_年段時段!$A$2:$AL$7,38,0))</f>
        <v/>
      </c>
      <c r="X41" s="13" t="str">
        <f aca="false">IF($A41="","",IF($V41=$W41,"✓","⚠不符"))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21" min="3" style="1" width="10"/>
  </cols>
  <sheetData>
    <row r="1" customFormat="false" ht="15" hidden="false" customHeight="true" outlineLevel="0" collapsed="false">
      <c r="A1" s="9" t="s">
        <v>362</v>
      </c>
      <c r="B1" s="9" t="s">
        <v>68</v>
      </c>
      <c r="C1" s="9" t="s">
        <v>164</v>
      </c>
      <c r="D1" s="9" t="s">
        <v>161</v>
      </c>
      <c r="E1" s="9" t="s">
        <v>166</v>
      </c>
      <c r="F1" s="9" t="s">
        <v>172</v>
      </c>
      <c r="G1" s="9" t="s">
        <v>175</v>
      </c>
      <c r="H1" s="9" t="s">
        <v>179</v>
      </c>
      <c r="I1" s="9" t="s">
        <v>183</v>
      </c>
      <c r="J1" s="9" t="s">
        <v>186</v>
      </c>
      <c r="K1" s="9" t="s">
        <v>192</v>
      </c>
      <c r="L1" s="9" t="s">
        <v>197</v>
      </c>
      <c r="M1" s="9" t="s">
        <v>201</v>
      </c>
      <c r="N1" s="9" t="s">
        <v>204</v>
      </c>
      <c r="O1" s="9" t="s">
        <v>208</v>
      </c>
      <c r="P1" s="9" t="s">
        <v>212</v>
      </c>
      <c r="Q1" s="9" t="s">
        <v>218</v>
      </c>
      <c r="R1" s="9" t="s">
        <v>221</v>
      </c>
      <c r="S1" s="9" t="s">
        <v>224</v>
      </c>
      <c r="T1" s="9" t="s">
        <v>227</v>
      </c>
      <c r="U1" s="9" t="s">
        <v>230</v>
      </c>
    </row>
    <row r="2" customFormat="false" ht="15" hidden="false" customHeight="true" outlineLevel="0" collapsed="false">
      <c r="A2" s="13" t="str">
        <f aca="false">IF(班級基本資料!A2="","",班級基本資料!A2)</f>
        <v>1甲</v>
      </c>
      <c r="B2" s="13" t="n">
        <f aca="false">IF(班級基本資料!A2="","",班級基本資料!B2)</f>
        <v>1</v>
      </c>
      <c r="C2" s="13" t="str">
        <f aca="false">IF(班級基本資料!A2="","",班級基本資料!C2)</f>
        <v>王導師</v>
      </c>
      <c r="D2" s="22" t="str">
        <f aca="false">IF($A2="","",IF(節數矩陣!D2&gt;0,$C2,""))</f>
        <v>王導師</v>
      </c>
      <c r="E2" s="10"/>
      <c r="F2" s="10"/>
      <c r="G2" s="22" t="str">
        <f aca="false">IF($A2="","",IF(節數矩陣!G2&gt;0,$C2,""))</f>
        <v>王導師</v>
      </c>
      <c r="H2" s="22" t="str">
        <f aca="false">IF($A2="","",IF(節數矩陣!H2&gt;0,$C2,""))</f>
        <v>王導師</v>
      </c>
      <c r="I2" s="10"/>
      <c r="J2" s="10"/>
      <c r="K2" s="10"/>
      <c r="L2" s="10"/>
      <c r="M2" s="22" t="str">
        <f aca="false">IF($A2="","",IF(節數矩陣!M2&gt;0,$C2,""))</f>
        <v/>
      </c>
      <c r="N2" s="10"/>
      <c r="O2" s="10"/>
      <c r="P2" s="10" t="str">
        <f aca="false">IF($A2="","",IF(節數矩陣!P2&gt;0,$C2,""))</f>
        <v>王導師</v>
      </c>
      <c r="Q2" s="10"/>
      <c r="R2" s="10"/>
      <c r="S2" s="22" t="str">
        <f aca="false">IF($A2="","",IF(節數矩陣!S2&gt;0,$C2,""))</f>
        <v/>
      </c>
      <c r="T2" s="10"/>
      <c r="U2" s="22" t="str">
        <f aca="false">IF($A2="","",IF(節數矩陣!U2&gt;0,$C2,""))</f>
        <v>王導師</v>
      </c>
    </row>
    <row r="3" customFormat="false" ht="15" hidden="false" customHeight="true" outlineLevel="0" collapsed="false">
      <c r="A3" s="13" t="str">
        <f aca="false">IF(班級基本資料!A3="","",班級基本資料!A3)</f>
        <v/>
      </c>
      <c r="B3" s="13" t="str">
        <f aca="false">IF(班級基本資料!A3="","",班級基本資料!B3)</f>
        <v/>
      </c>
      <c r="C3" s="13" t="str">
        <f aca="false">IF(班級基本資料!A3="","",班級基本資料!C3)</f>
        <v/>
      </c>
      <c r="D3" s="22" t="str">
        <f aca="false">IF($A3="","",IF(節數矩陣!D3&gt;0,$C3,""))</f>
        <v/>
      </c>
      <c r="E3" s="10"/>
      <c r="F3" s="10"/>
      <c r="G3" s="22" t="str">
        <f aca="false">IF($A3="","",IF(節數矩陣!G3&gt;0,$C3,""))</f>
        <v/>
      </c>
      <c r="H3" s="22" t="str">
        <f aca="false">IF($A3="","",IF(節數矩陣!H3&gt;0,$C3,""))</f>
        <v/>
      </c>
      <c r="I3" s="10"/>
      <c r="J3" s="10"/>
      <c r="K3" s="10"/>
      <c r="L3" s="10"/>
      <c r="M3" s="22" t="str">
        <f aca="false">IF($A3="","",IF(節數矩陣!M3&gt;0,$C3,""))</f>
        <v/>
      </c>
      <c r="N3" s="10"/>
      <c r="O3" s="10"/>
      <c r="P3" s="10" t="str">
        <f aca="false">IF($A3="","",IF(節數矩陣!P3&gt;0,$C3,""))</f>
        <v/>
      </c>
      <c r="Q3" s="10"/>
      <c r="R3" s="10"/>
      <c r="S3" s="22" t="str">
        <f aca="false">IF($A3="","",IF(節數矩陣!S3&gt;0,$C3,""))</f>
        <v/>
      </c>
      <c r="T3" s="10"/>
      <c r="U3" s="22" t="str">
        <f aca="false">IF($A3="","",IF(節數矩陣!U3&gt;0,$C3,""))</f>
        <v/>
      </c>
    </row>
    <row r="4" customFormat="false" ht="15" hidden="false" customHeight="true" outlineLevel="0" collapsed="false">
      <c r="A4" s="13" t="str">
        <f aca="false">IF(班級基本資料!A4="","",班級基本資料!A4)</f>
        <v/>
      </c>
      <c r="B4" s="13" t="str">
        <f aca="false">IF(班級基本資料!A4="","",班級基本資料!B4)</f>
        <v/>
      </c>
      <c r="C4" s="13" t="str">
        <f aca="false">IF(班級基本資料!A4="","",班級基本資料!C4)</f>
        <v/>
      </c>
      <c r="D4" s="22" t="str">
        <f aca="false">IF($A4="","",IF(節數矩陣!D4&gt;0,$C4,""))</f>
        <v/>
      </c>
      <c r="E4" s="10"/>
      <c r="F4" s="10"/>
      <c r="G4" s="22" t="str">
        <f aca="false">IF($A4="","",IF(節數矩陣!G4&gt;0,$C4,""))</f>
        <v/>
      </c>
      <c r="H4" s="22" t="str">
        <f aca="false">IF($A4="","",IF(節數矩陣!H4&gt;0,$C4,""))</f>
        <v/>
      </c>
      <c r="I4" s="10"/>
      <c r="J4" s="10"/>
      <c r="K4" s="10"/>
      <c r="L4" s="10"/>
      <c r="M4" s="22" t="str">
        <f aca="false">IF($A4="","",IF(節數矩陣!M4&gt;0,$C4,""))</f>
        <v/>
      </c>
      <c r="N4" s="10"/>
      <c r="O4" s="10"/>
      <c r="P4" s="10" t="str">
        <f aca="false">IF($A4="","",IF(節數矩陣!P4&gt;0,$C4,""))</f>
        <v/>
      </c>
      <c r="Q4" s="10"/>
      <c r="R4" s="10"/>
      <c r="S4" s="22" t="str">
        <f aca="false">IF($A4="","",IF(節數矩陣!S4&gt;0,$C4,""))</f>
        <v/>
      </c>
      <c r="T4" s="10"/>
      <c r="U4" s="22" t="str">
        <f aca="false">IF($A4="","",IF(節數矩陣!U4&gt;0,$C4,""))</f>
        <v/>
      </c>
    </row>
    <row r="5" customFormat="false" ht="15" hidden="false" customHeight="true" outlineLevel="0" collapsed="false">
      <c r="A5" s="13" t="str">
        <f aca="false">IF(班級基本資料!A5="","",班級基本資料!A5)</f>
        <v/>
      </c>
      <c r="B5" s="13" t="str">
        <f aca="false">IF(班級基本資料!A5="","",班級基本資料!B5)</f>
        <v/>
      </c>
      <c r="C5" s="13" t="str">
        <f aca="false">IF(班級基本資料!A5="","",班級基本資料!C5)</f>
        <v/>
      </c>
      <c r="D5" s="22" t="str">
        <f aca="false">IF($A5="","",IF(節數矩陣!D5&gt;0,$C5,""))</f>
        <v/>
      </c>
      <c r="E5" s="10"/>
      <c r="F5" s="10"/>
      <c r="G5" s="22" t="str">
        <f aca="false">IF($A5="","",IF(節數矩陣!G5&gt;0,$C5,""))</f>
        <v/>
      </c>
      <c r="H5" s="10" t="str">
        <f aca="false">IF($A5="","",IF(節數矩陣!H5&gt;0,$C5,""))</f>
        <v/>
      </c>
      <c r="I5" s="10"/>
      <c r="J5" s="10"/>
      <c r="K5" s="10"/>
      <c r="L5" s="10"/>
      <c r="M5" s="22" t="str">
        <f aca="false">IF($A5="","",IF(節數矩陣!M5&gt;0,$C5,""))</f>
        <v/>
      </c>
      <c r="N5" s="10"/>
      <c r="O5" s="10"/>
      <c r="P5" s="10" t="str">
        <f aca="false">IF($A5="","",IF(節數矩陣!P5&gt;0,$C5,""))</f>
        <v/>
      </c>
      <c r="Q5" s="10"/>
      <c r="R5" s="10"/>
      <c r="S5" s="22" t="str">
        <f aca="false">IF($A5="","",IF(節數矩陣!S5&gt;0,$C5,""))</f>
        <v/>
      </c>
      <c r="T5" s="10"/>
      <c r="U5" s="22" t="str">
        <f aca="false">IF($A5="","",IF(節數矩陣!U5&gt;0,$C5,""))</f>
        <v/>
      </c>
    </row>
    <row r="6" customFormat="false" ht="15" hidden="false" customHeight="true" outlineLevel="0" collapsed="false">
      <c r="A6" s="13" t="str">
        <f aca="false">IF(班級基本資料!A6="","",班級基本資料!A6)</f>
        <v/>
      </c>
      <c r="B6" s="13" t="str">
        <f aca="false">IF(班級基本資料!A6="","",班級基本資料!B6)</f>
        <v/>
      </c>
      <c r="C6" s="13" t="str">
        <f aca="false">IF(班級基本資料!A6="","",班級基本資料!C6)</f>
        <v/>
      </c>
      <c r="D6" s="22" t="str">
        <f aca="false">IF($A6="","",IF(節數矩陣!D6&gt;0,$C6,""))</f>
        <v/>
      </c>
      <c r="E6" s="10"/>
      <c r="F6" s="10"/>
      <c r="G6" s="22" t="str">
        <f aca="false">IF($A6="","",IF(節數矩陣!G6&gt;0,$C6,""))</f>
        <v/>
      </c>
      <c r="H6" s="22" t="str">
        <f aca="false">IF($A6="","",IF(節數矩陣!H6&gt;0,$C6,""))</f>
        <v/>
      </c>
      <c r="I6" s="10"/>
      <c r="J6" s="10"/>
      <c r="K6" s="10"/>
      <c r="L6" s="10"/>
      <c r="M6" s="22" t="str">
        <f aca="false">IF($A6="","",IF(節數矩陣!M6&gt;0,$C6,""))</f>
        <v/>
      </c>
      <c r="N6" s="10"/>
      <c r="O6" s="10"/>
      <c r="P6" s="10" t="str">
        <f aca="false">IF($A6="","",IF(節數矩陣!P6&gt;0,$C6,""))</f>
        <v/>
      </c>
      <c r="Q6" s="10"/>
      <c r="R6" s="10"/>
      <c r="S6" s="22" t="str">
        <f aca="false">IF($A6="","",IF(節數矩陣!S6&gt;0,$C6,""))</f>
        <v/>
      </c>
      <c r="T6" s="10"/>
      <c r="U6" s="22" t="str">
        <f aca="false">IF($A6="","",IF(節數矩陣!U6&gt;0,$C6,""))</f>
        <v/>
      </c>
    </row>
    <row r="7" customFormat="false" ht="15" hidden="false" customHeight="true" outlineLevel="0" collapsed="false">
      <c r="A7" s="13" t="str">
        <f aca="false">IF(班級基本資料!A7="","",班級基本資料!A7)</f>
        <v/>
      </c>
      <c r="B7" s="13" t="str">
        <f aca="false">IF(班級基本資料!A7="","",班級基本資料!B7)</f>
        <v/>
      </c>
      <c r="C7" s="13" t="str">
        <f aca="false">IF(班級基本資料!A7="","",班級基本資料!C7)</f>
        <v/>
      </c>
      <c r="D7" s="22" t="str">
        <f aca="false">IF($A7="","",IF(節數矩陣!D7&gt;0,$C7,""))</f>
        <v/>
      </c>
      <c r="E7" s="10"/>
      <c r="F7" s="10"/>
      <c r="G7" s="22" t="str">
        <f aca="false">IF($A7="","",IF(節數矩陣!G7&gt;0,$C7,""))</f>
        <v/>
      </c>
      <c r="H7" s="22" t="str">
        <f aca="false">IF($A7="","",IF(節數矩陣!H7&gt;0,$C7,""))</f>
        <v/>
      </c>
      <c r="I7" s="10"/>
      <c r="J7" s="10"/>
      <c r="K7" s="10"/>
      <c r="L7" s="10"/>
      <c r="M7" s="22" t="str">
        <f aca="false">IF($A7="","",IF(節數矩陣!M7&gt;0,$C7,""))</f>
        <v/>
      </c>
      <c r="N7" s="10"/>
      <c r="O7" s="10"/>
      <c r="P7" s="22" t="str">
        <f aca="false">IF($A7="","",IF(節數矩陣!P7&gt;0,$C7,""))</f>
        <v/>
      </c>
      <c r="Q7" s="10"/>
      <c r="R7" s="10"/>
      <c r="S7" s="22" t="str">
        <f aca="false">IF($A7="","",IF(節數矩陣!S7&gt;0,$C7,""))</f>
        <v/>
      </c>
      <c r="T7" s="10"/>
      <c r="U7" s="22" t="str">
        <f aca="false">IF($A7="","",IF(節數矩陣!U7&gt;0,$C7,""))</f>
        <v/>
      </c>
    </row>
    <row r="8" customFormat="false" ht="15" hidden="false" customHeight="true" outlineLevel="0" collapsed="false">
      <c r="A8" s="13" t="str">
        <f aca="false">IF(班級基本資料!A8="","",班級基本資料!A8)</f>
        <v/>
      </c>
      <c r="B8" s="13" t="str">
        <f aca="false">IF(班級基本資料!A8="","",班級基本資料!B8)</f>
        <v/>
      </c>
      <c r="C8" s="13" t="str">
        <f aca="false">IF(班級基本資料!A8="","",班級基本資料!C8)</f>
        <v/>
      </c>
      <c r="D8" s="22" t="str">
        <f aca="false">IF($A8="","",IF(節數矩陣!D8&gt;0,$C8,""))</f>
        <v/>
      </c>
      <c r="E8" s="10"/>
      <c r="F8" s="10"/>
      <c r="G8" s="22" t="str">
        <f aca="false">IF($A8="","",IF(節數矩陣!G8&gt;0,$C8,""))</f>
        <v/>
      </c>
      <c r="H8" s="22" t="str">
        <f aca="false">IF($A8="","",IF(節數矩陣!H8&gt;0,$C8,""))</f>
        <v/>
      </c>
      <c r="I8" s="10"/>
      <c r="J8" s="10"/>
      <c r="K8" s="10"/>
      <c r="L8" s="10"/>
      <c r="M8" s="22" t="str">
        <f aca="false">IF($A8="","",IF(節數矩陣!M8&gt;0,$C8,""))</f>
        <v/>
      </c>
      <c r="N8" s="10"/>
      <c r="O8" s="10"/>
      <c r="P8" s="22" t="str">
        <f aca="false">IF($A8="","",IF(節數矩陣!P8&gt;0,$C8,""))</f>
        <v/>
      </c>
      <c r="Q8" s="10"/>
      <c r="R8" s="10"/>
      <c r="S8" s="22" t="str">
        <f aca="false">IF($A8="","",IF(節數矩陣!S8&gt;0,$C8,""))</f>
        <v/>
      </c>
      <c r="T8" s="10"/>
      <c r="U8" s="22" t="str">
        <f aca="false">IF($A8="","",IF(節數矩陣!U8&gt;0,$C8,""))</f>
        <v/>
      </c>
    </row>
    <row r="9" customFormat="false" ht="15" hidden="false" customHeight="true" outlineLevel="0" collapsed="false">
      <c r="A9" s="13" t="str">
        <f aca="false">IF(班級基本資料!A9="","",班級基本資料!A9)</f>
        <v/>
      </c>
      <c r="B9" s="13" t="str">
        <f aca="false">IF(班級基本資料!A9="","",班級基本資料!B9)</f>
        <v/>
      </c>
      <c r="C9" s="13" t="str">
        <f aca="false">IF(班級基本資料!A9="","",班級基本資料!C9)</f>
        <v/>
      </c>
      <c r="D9" s="22" t="str">
        <f aca="false">IF($A9="","",IF(節數矩陣!D9&gt;0,$C9,""))</f>
        <v/>
      </c>
      <c r="E9" s="10"/>
      <c r="F9" s="10"/>
      <c r="G9" s="22" t="str">
        <f aca="false">IF($A9="","",IF(節數矩陣!G9&gt;0,$C9,""))</f>
        <v/>
      </c>
      <c r="H9" s="22" t="str">
        <f aca="false">IF($A9="","",IF(節數矩陣!H9&gt;0,$C9,""))</f>
        <v/>
      </c>
      <c r="I9" s="10"/>
      <c r="J9" s="10"/>
      <c r="K9" s="10"/>
      <c r="L9" s="10"/>
      <c r="M9" s="22" t="str">
        <f aca="false">IF($A9="","",IF(節數矩陣!M9&gt;0,$C9,""))</f>
        <v/>
      </c>
      <c r="N9" s="10"/>
      <c r="O9" s="10"/>
      <c r="P9" s="22" t="str">
        <f aca="false">IF($A9="","",IF(節數矩陣!P9&gt;0,$C9,""))</f>
        <v/>
      </c>
      <c r="Q9" s="10"/>
      <c r="R9" s="10"/>
      <c r="S9" s="22" t="str">
        <f aca="false">IF($A9="","",IF(節數矩陣!S9&gt;0,$C9,""))</f>
        <v/>
      </c>
      <c r="T9" s="10"/>
      <c r="U9" s="22" t="str">
        <f aca="false">IF($A9="","",IF(節數矩陣!U9&gt;0,$C9,""))</f>
        <v/>
      </c>
    </row>
    <row r="10" customFormat="false" ht="15" hidden="false" customHeight="true" outlineLevel="0" collapsed="false">
      <c r="A10" s="13" t="str">
        <f aca="false">IF(班級基本資料!A10="","",班級基本資料!A10)</f>
        <v/>
      </c>
      <c r="B10" s="13" t="str">
        <f aca="false">IF(班級基本資料!A10="","",班級基本資料!B10)</f>
        <v/>
      </c>
      <c r="C10" s="13" t="str">
        <f aca="false">IF(班級基本資料!A10="","",班級基本資料!C10)</f>
        <v/>
      </c>
      <c r="D10" s="22" t="str">
        <f aca="false">IF($A10="","",IF(節數矩陣!D10&gt;0,$C10,""))</f>
        <v/>
      </c>
      <c r="E10" s="10"/>
      <c r="F10" s="10"/>
      <c r="G10" s="22" t="str">
        <f aca="false">IF($A10="","",IF(節數矩陣!G10&gt;0,$C10,""))</f>
        <v/>
      </c>
      <c r="H10" s="22" t="str">
        <f aca="false">IF($A10="","",IF(節數矩陣!H10&gt;0,$C10,""))</f>
        <v/>
      </c>
      <c r="I10" s="10"/>
      <c r="J10" s="10"/>
      <c r="K10" s="10"/>
      <c r="L10" s="10"/>
      <c r="M10" s="22" t="str">
        <f aca="false">IF($A10="","",IF(節數矩陣!M10&gt;0,$C10,""))</f>
        <v/>
      </c>
      <c r="N10" s="10"/>
      <c r="O10" s="10"/>
      <c r="P10" s="22" t="str">
        <f aca="false">IF($A10="","",IF(節數矩陣!P10&gt;0,$C10,""))</f>
        <v/>
      </c>
      <c r="Q10" s="10"/>
      <c r="R10" s="10"/>
      <c r="S10" s="22" t="str">
        <f aca="false">IF($A10="","",IF(節數矩陣!S10&gt;0,$C10,""))</f>
        <v/>
      </c>
      <c r="T10" s="10"/>
      <c r="U10" s="22" t="str">
        <f aca="false">IF($A10="","",IF(節數矩陣!U10&gt;0,$C10,""))</f>
        <v/>
      </c>
    </row>
    <row r="11" customFormat="false" ht="15" hidden="false" customHeight="true" outlineLevel="0" collapsed="false">
      <c r="A11" s="13" t="str">
        <f aca="false">IF(班級基本資料!A11="","",班級基本資料!A11)</f>
        <v/>
      </c>
      <c r="B11" s="13" t="str">
        <f aca="false">IF(班級基本資料!A11="","",班級基本資料!B11)</f>
        <v/>
      </c>
      <c r="C11" s="13" t="str">
        <f aca="false">IF(班級基本資料!A11="","",班級基本資料!C11)</f>
        <v/>
      </c>
      <c r="D11" s="22" t="str">
        <f aca="false">IF($A11="","",IF(節數矩陣!D11&gt;0,$C11,""))</f>
        <v/>
      </c>
      <c r="E11" s="10"/>
      <c r="F11" s="10"/>
      <c r="G11" s="22" t="str">
        <f aca="false">IF($A11="","",IF(節數矩陣!G11&gt;0,$C11,""))</f>
        <v/>
      </c>
      <c r="H11" s="22" t="str">
        <f aca="false">IF($A11="","",IF(節數矩陣!H11&gt;0,$C11,""))</f>
        <v/>
      </c>
      <c r="I11" s="10"/>
      <c r="J11" s="10"/>
      <c r="K11" s="10"/>
      <c r="L11" s="10"/>
      <c r="M11" s="22" t="str">
        <f aca="false">IF($A11="","",IF(節數矩陣!M11&gt;0,$C11,""))</f>
        <v/>
      </c>
      <c r="N11" s="10"/>
      <c r="O11" s="10"/>
      <c r="P11" s="22" t="str">
        <f aca="false">IF($A11="","",IF(節數矩陣!P11&gt;0,$C11,""))</f>
        <v/>
      </c>
      <c r="Q11" s="10"/>
      <c r="R11" s="10"/>
      <c r="S11" s="22" t="str">
        <f aca="false">IF($A11="","",IF(節數矩陣!S11&gt;0,$C11,""))</f>
        <v/>
      </c>
      <c r="T11" s="10"/>
      <c r="U11" s="22" t="str">
        <f aca="false">IF($A11="","",IF(節數矩陣!U11&gt;0,$C11,""))</f>
        <v/>
      </c>
    </row>
    <row r="12" customFormat="false" ht="15" hidden="false" customHeight="true" outlineLevel="0" collapsed="false">
      <c r="A12" s="13" t="str">
        <f aca="false">IF(班級基本資料!A12="","",班級基本資料!A12)</f>
        <v/>
      </c>
      <c r="B12" s="13" t="str">
        <f aca="false">IF(班級基本資料!A12="","",班級基本資料!B12)</f>
        <v/>
      </c>
      <c r="C12" s="13" t="str">
        <f aca="false">IF(班級基本資料!A12="","",班級基本資料!C12)</f>
        <v/>
      </c>
      <c r="D12" s="22" t="str">
        <f aca="false">IF($A12="","",IF(節數矩陣!D12&gt;0,$C12,""))</f>
        <v/>
      </c>
      <c r="E12" s="10"/>
      <c r="F12" s="10"/>
      <c r="G12" s="22" t="str">
        <f aca="false">IF($A12="","",IF(節數矩陣!G12&gt;0,$C12,""))</f>
        <v/>
      </c>
      <c r="H12" s="22" t="str">
        <f aca="false">IF($A12="","",IF(節數矩陣!H12&gt;0,$C12,""))</f>
        <v/>
      </c>
      <c r="I12" s="10"/>
      <c r="J12" s="10"/>
      <c r="K12" s="10"/>
      <c r="L12" s="10"/>
      <c r="M12" s="22" t="str">
        <f aca="false">IF($A12="","",IF(節數矩陣!M12&gt;0,$C12,""))</f>
        <v/>
      </c>
      <c r="N12" s="10"/>
      <c r="O12" s="10"/>
      <c r="P12" s="10" t="str">
        <f aca="false">IF($A12="","",IF(節數矩陣!P12&gt;0,$C12,""))</f>
        <v/>
      </c>
      <c r="Q12" s="10"/>
      <c r="R12" s="10"/>
      <c r="S12" s="22" t="str">
        <f aca="false">IF($A12="","",IF(節數矩陣!S12&gt;0,$C12,""))</f>
        <v/>
      </c>
      <c r="T12" s="10"/>
      <c r="U12" s="22" t="str">
        <f aca="false">IF($A12="","",IF(節數矩陣!U12&gt;0,$C12,""))</f>
        <v/>
      </c>
    </row>
    <row r="13" customFormat="false" ht="15" hidden="false" customHeight="true" outlineLevel="0" collapsed="false">
      <c r="A13" s="13" t="str">
        <f aca="false">IF(班級基本資料!A13="","",班級基本資料!A13)</f>
        <v/>
      </c>
      <c r="B13" s="13" t="str">
        <f aca="false">IF(班級基本資料!A13="","",班級基本資料!B13)</f>
        <v/>
      </c>
      <c r="C13" s="13" t="str">
        <f aca="false">IF(班級基本資料!A13="","",班級基本資料!C13)</f>
        <v/>
      </c>
      <c r="D13" s="22" t="str">
        <f aca="false">IF($A13="","",IF(節數矩陣!D13&gt;0,$C13,""))</f>
        <v/>
      </c>
      <c r="E13" s="10"/>
      <c r="F13" s="10"/>
      <c r="G13" s="22" t="str">
        <f aca="false">IF($A13="","",IF(節數矩陣!G13&gt;0,$C13,""))</f>
        <v/>
      </c>
      <c r="H13" s="22" t="str">
        <f aca="false">IF($A13="","",IF(節數矩陣!H13&gt;0,$C13,""))</f>
        <v/>
      </c>
      <c r="I13" s="10"/>
      <c r="J13" s="10"/>
      <c r="K13" s="10"/>
      <c r="L13" s="10"/>
      <c r="M13" s="22" t="str">
        <f aca="false">IF($A13="","",IF(節數矩陣!M13&gt;0,$C13,""))</f>
        <v/>
      </c>
      <c r="N13" s="10"/>
      <c r="O13" s="10"/>
      <c r="P13" s="10" t="str">
        <f aca="false">IF($A13="","",IF(節數矩陣!P13&gt;0,$C13,""))</f>
        <v/>
      </c>
      <c r="Q13" s="10"/>
      <c r="R13" s="10"/>
      <c r="S13" s="22" t="str">
        <f aca="false">IF($A13="","",IF(節數矩陣!S13&gt;0,$C13,""))</f>
        <v/>
      </c>
      <c r="T13" s="10"/>
      <c r="U13" s="22" t="str">
        <f aca="false">IF($A13="","",IF(節數矩陣!U13&gt;0,$C13,""))</f>
        <v/>
      </c>
    </row>
    <row r="14" customFormat="false" ht="15" hidden="false" customHeight="true" outlineLevel="0" collapsed="false">
      <c r="A14" s="13" t="str">
        <f aca="false">IF(班級基本資料!A14="","",班級基本資料!A14)</f>
        <v/>
      </c>
      <c r="B14" s="13" t="str">
        <f aca="false">IF(班級基本資料!A14="","",班級基本資料!B14)</f>
        <v/>
      </c>
      <c r="C14" s="13" t="str">
        <f aca="false">IF(班級基本資料!A14="","",班級基本資料!C14)</f>
        <v/>
      </c>
      <c r="D14" s="22" t="str">
        <f aca="false">IF($A14="","",IF(節數矩陣!D14&gt;0,$C14,""))</f>
        <v/>
      </c>
      <c r="E14" s="10"/>
      <c r="F14" s="10"/>
      <c r="G14" s="22" t="str">
        <f aca="false">IF($A14="","",IF(節數矩陣!G14&gt;0,$C14,""))</f>
        <v/>
      </c>
      <c r="H14" s="22" t="str">
        <f aca="false">IF($A14="","",IF(節數矩陣!H14&gt;0,$C14,""))</f>
        <v/>
      </c>
      <c r="I14" s="10"/>
      <c r="J14" s="10"/>
      <c r="K14" s="10"/>
      <c r="L14" s="10"/>
      <c r="M14" s="22" t="str">
        <f aca="false">IF($A14="","",IF(節數矩陣!M14&gt;0,$C14,""))</f>
        <v/>
      </c>
      <c r="N14" s="10"/>
      <c r="O14" s="10"/>
      <c r="P14" s="10" t="str">
        <f aca="false">IF($A14="","",IF(節數矩陣!P14&gt;0,$C14,""))</f>
        <v/>
      </c>
      <c r="Q14" s="10"/>
      <c r="R14" s="10"/>
      <c r="S14" s="22" t="str">
        <f aca="false">IF($A14="","",IF(節數矩陣!S14&gt;0,$C14,""))</f>
        <v/>
      </c>
      <c r="T14" s="10"/>
      <c r="U14" s="22" t="str">
        <f aca="false">IF($A14="","",IF(節數矩陣!U14&gt;0,$C14,""))</f>
        <v/>
      </c>
    </row>
    <row r="15" customFormat="false" ht="15" hidden="false" customHeight="true" outlineLevel="0" collapsed="false">
      <c r="A15" s="13" t="str">
        <f aca="false">IF(班級基本資料!A15="","",班級基本資料!A15)</f>
        <v/>
      </c>
      <c r="B15" s="13" t="str">
        <f aca="false">IF(班級基本資料!A15="","",班級基本資料!B15)</f>
        <v/>
      </c>
      <c r="C15" s="13" t="str">
        <f aca="false">IF(班級基本資料!A15="","",班級基本資料!C15)</f>
        <v/>
      </c>
      <c r="D15" s="22" t="str">
        <f aca="false">IF($A15="","",IF(節數矩陣!D15&gt;0,$C15,""))</f>
        <v/>
      </c>
      <c r="E15" s="10"/>
      <c r="F15" s="10"/>
      <c r="G15" s="22" t="str">
        <f aca="false">IF($A15="","",IF(節數矩陣!G15&gt;0,$C15,""))</f>
        <v/>
      </c>
      <c r="H15" s="22" t="str">
        <f aca="false">IF($A15="","",IF(節數矩陣!H15&gt;0,$C15,""))</f>
        <v/>
      </c>
      <c r="I15" s="10"/>
      <c r="J15" s="10"/>
      <c r="K15" s="10"/>
      <c r="L15" s="10"/>
      <c r="M15" s="22" t="str">
        <f aca="false">IF($A15="","",IF(節數矩陣!M15&gt;0,$C15,""))</f>
        <v/>
      </c>
      <c r="N15" s="10"/>
      <c r="O15" s="10"/>
      <c r="P15" s="10" t="str">
        <f aca="false">IF($A15="","",IF(節數矩陣!P15&gt;0,$C15,""))</f>
        <v/>
      </c>
      <c r="Q15" s="10"/>
      <c r="R15" s="10"/>
      <c r="S15" s="22" t="str">
        <f aca="false">IF($A15="","",IF(節數矩陣!S15&gt;0,$C15,""))</f>
        <v/>
      </c>
      <c r="T15" s="10"/>
      <c r="U15" s="22" t="str">
        <f aca="false">IF($A15="","",IF(節數矩陣!U15&gt;0,$C15,""))</f>
        <v/>
      </c>
    </row>
    <row r="16" customFormat="false" ht="15" hidden="false" customHeight="true" outlineLevel="0" collapsed="false">
      <c r="A16" s="13" t="str">
        <f aca="false">IF(班級基本資料!A16="","",班級基本資料!A16)</f>
        <v/>
      </c>
      <c r="B16" s="13" t="str">
        <f aca="false">IF(班級基本資料!A16="","",班級基本資料!B16)</f>
        <v/>
      </c>
      <c r="C16" s="13" t="str">
        <f aca="false">IF(班級基本資料!A16="","",班級基本資料!C16)</f>
        <v/>
      </c>
      <c r="D16" s="22" t="str">
        <f aca="false">IF($A16="","",IF(節數矩陣!D16&gt;0,$C16,""))</f>
        <v/>
      </c>
      <c r="E16" s="10"/>
      <c r="F16" s="10"/>
      <c r="G16" s="22" t="str">
        <f aca="false">IF($A16="","",IF(節數矩陣!G16&gt;0,$C16,""))</f>
        <v/>
      </c>
      <c r="H16" s="22" t="str">
        <f aca="false">IF($A16="","",IF(節數矩陣!H16&gt;0,$C16,""))</f>
        <v/>
      </c>
      <c r="I16" s="10"/>
      <c r="J16" s="10"/>
      <c r="K16" s="10"/>
      <c r="L16" s="10"/>
      <c r="M16" s="22" t="str">
        <f aca="false">IF($A16="","",IF(節數矩陣!M16&gt;0,$C16,""))</f>
        <v/>
      </c>
      <c r="N16" s="10"/>
      <c r="O16" s="10"/>
      <c r="P16" s="10" t="str">
        <f aca="false">IF($A16="","",IF(節數矩陣!P16&gt;0,$C16,""))</f>
        <v/>
      </c>
      <c r="Q16" s="10"/>
      <c r="R16" s="10"/>
      <c r="S16" s="22" t="str">
        <f aca="false">IF($A16="","",IF(節數矩陣!S16&gt;0,$C16,""))</f>
        <v/>
      </c>
      <c r="T16" s="10"/>
      <c r="U16" s="22" t="str">
        <f aca="false">IF($A16="","",IF(節數矩陣!U16&gt;0,$C16,""))</f>
        <v/>
      </c>
    </row>
    <row r="17" customFormat="false" ht="15" hidden="false" customHeight="true" outlineLevel="0" collapsed="false">
      <c r="A17" s="13" t="str">
        <f aca="false">IF(班級基本資料!A17="","",班級基本資料!A17)</f>
        <v/>
      </c>
      <c r="B17" s="13" t="str">
        <f aca="false">IF(班級基本資料!A17="","",班級基本資料!B17)</f>
        <v/>
      </c>
      <c r="C17" s="13" t="str">
        <f aca="false">IF(班級基本資料!A17="","",班級基本資料!C17)</f>
        <v/>
      </c>
      <c r="D17" s="22" t="str">
        <f aca="false">IF($A17="","",IF(節數矩陣!D17&gt;0,$C17,""))</f>
        <v/>
      </c>
      <c r="E17" s="10"/>
      <c r="F17" s="10"/>
      <c r="G17" s="22" t="str">
        <f aca="false">IF($A17="","",IF(節數矩陣!G17&gt;0,$C17,""))</f>
        <v/>
      </c>
      <c r="H17" s="22" t="str">
        <f aca="false">IF($A17="","",IF(節數矩陣!H17&gt;0,$C17,""))</f>
        <v/>
      </c>
      <c r="I17" s="10"/>
      <c r="J17" s="10"/>
      <c r="K17" s="10"/>
      <c r="L17" s="10"/>
      <c r="M17" s="22" t="str">
        <f aca="false">IF($A17="","",IF(節數矩陣!M17&gt;0,$C17,""))</f>
        <v/>
      </c>
      <c r="N17" s="10"/>
      <c r="O17" s="10"/>
      <c r="P17" s="10" t="str">
        <f aca="false">IF($A17="","",IF(節數矩陣!P17&gt;0,$C17,""))</f>
        <v/>
      </c>
      <c r="Q17" s="10"/>
      <c r="R17" s="10"/>
      <c r="S17" s="22" t="str">
        <f aca="false">IF($A17="","",IF(節數矩陣!S17&gt;0,$C17,""))</f>
        <v/>
      </c>
      <c r="T17" s="10"/>
      <c r="U17" s="22" t="str">
        <f aca="false">IF($A17="","",IF(節數矩陣!U17&gt;0,$C17,""))</f>
        <v/>
      </c>
    </row>
    <row r="18" customFormat="false" ht="15" hidden="false" customHeight="true" outlineLevel="0" collapsed="false">
      <c r="A18" s="13" t="str">
        <f aca="false">IF(班級基本資料!A18="","",班級基本資料!A18)</f>
        <v/>
      </c>
      <c r="B18" s="13" t="str">
        <f aca="false">IF(班級基本資料!A18="","",班級基本資料!B18)</f>
        <v/>
      </c>
      <c r="C18" s="13" t="str">
        <f aca="false">IF(班級基本資料!A18="","",班級基本資料!C18)</f>
        <v/>
      </c>
      <c r="D18" s="22" t="str">
        <f aca="false">IF($A18="","",IF(節數矩陣!D18&gt;0,$C18,""))</f>
        <v/>
      </c>
      <c r="E18" s="10"/>
      <c r="F18" s="10"/>
      <c r="G18" s="22" t="str">
        <f aca="false">IF($A18="","",IF(節數矩陣!G18&gt;0,$C18,""))</f>
        <v/>
      </c>
      <c r="H18" s="22" t="str">
        <f aca="false">IF($A18="","",IF(節數矩陣!H18&gt;0,$C18,""))</f>
        <v/>
      </c>
      <c r="I18" s="10"/>
      <c r="J18" s="10"/>
      <c r="K18" s="10"/>
      <c r="L18" s="10"/>
      <c r="M18" s="22" t="str">
        <f aca="false">IF($A18="","",IF(節數矩陣!M18&gt;0,$C18,""))</f>
        <v/>
      </c>
      <c r="N18" s="10"/>
      <c r="O18" s="10"/>
      <c r="P18" s="22" t="str">
        <f aca="false">IF($A18="","",IF(節數矩陣!P18&gt;0,$C18,""))</f>
        <v/>
      </c>
      <c r="Q18" s="10"/>
      <c r="R18" s="10"/>
      <c r="S18" s="22" t="str">
        <f aca="false">IF($A18="","",IF(節數矩陣!S18&gt;0,$C18,""))</f>
        <v/>
      </c>
      <c r="T18" s="10"/>
      <c r="U18" s="22" t="str">
        <f aca="false">IF($A18="","",IF(節數矩陣!U18&gt;0,$C18,""))</f>
        <v/>
      </c>
    </row>
    <row r="19" customFormat="false" ht="15" hidden="false" customHeight="true" outlineLevel="0" collapsed="false">
      <c r="A19" s="13" t="str">
        <f aca="false">IF(班級基本資料!A19="","",班級基本資料!A19)</f>
        <v/>
      </c>
      <c r="B19" s="13" t="str">
        <f aca="false">IF(班級基本資料!A19="","",班級基本資料!B19)</f>
        <v/>
      </c>
      <c r="C19" s="13" t="str">
        <f aca="false">IF(班級基本資料!A19="","",班級基本資料!C19)</f>
        <v/>
      </c>
      <c r="D19" s="22" t="str">
        <f aca="false">IF($A19="","",IF(節數矩陣!D19&gt;0,$C19,""))</f>
        <v/>
      </c>
      <c r="E19" s="10"/>
      <c r="F19" s="10"/>
      <c r="G19" s="22" t="str">
        <f aca="false">IF($A19="","",IF(節數矩陣!G19&gt;0,$C19,""))</f>
        <v/>
      </c>
      <c r="H19" s="22" t="str">
        <f aca="false">IF($A19="","",IF(節數矩陣!H19&gt;0,$C19,""))</f>
        <v/>
      </c>
      <c r="I19" s="10"/>
      <c r="J19" s="10"/>
      <c r="K19" s="10"/>
      <c r="L19" s="10"/>
      <c r="M19" s="22" t="str">
        <f aca="false">IF($A19="","",IF(節數矩陣!M19&gt;0,$C19,""))</f>
        <v/>
      </c>
      <c r="N19" s="10"/>
      <c r="O19" s="10"/>
      <c r="P19" s="22" t="str">
        <f aca="false">IF($A19="","",IF(節數矩陣!P19&gt;0,$C19,""))</f>
        <v/>
      </c>
      <c r="Q19" s="10"/>
      <c r="R19" s="10"/>
      <c r="S19" s="22" t="str">
        <f aca="false">IF($A19="","",IF(節數矩陣!S19&gt;0,$C19,""))</f>
        <v/>
      </c>
      <c r="T19" s="10"/>
      <c r="U19" s="22" t="str">
        <f aca="false">IF($A19="","",IF(節數矩陣!U19&gt;0,$C19,""))</f>
        <v/>
      </c>
    </row>
    <row r="20" customFormat="false" ht="15" hidden="false" customHeight="true" outlineLevel="0" collapsed="false">
      <c r="A20" s="13" t="str">
        <f aca="false">IF(班級基本資料!A20="","",班級基本資料!A20)</f>
        <v/>
      </c>
      <c r="B20" s="13" t="str">
        <f aca="false">IF(班級基本資料!A20="","",班級基本資料!B20)</f>
        <v/>
      </c>
      <c r="C20" s="13" t="str">
        <f aca="false">IF(班級基本資料!A20="","",班級基本資料!C20)</f>
        <v/>
      </c>
      <c r="D20" s="22" t="str">
        <f aca="false">IF($A20="","",IF(節數矩陣!D20&gt;0,$C20,""))</f>
        <v/>
      </c>
      <c r="E20" s="10"/>
      <c r="F20" s="10"/>
      <c r="G20" s="22" t="str">
        <f aca="false">IF($A20="","",IF(節數矩陣!G20&gt;0,$C20,""))</f>
        <v/>
      </c>
      <c r="H20" s="22" t="str">
        <f aca="false">IF($A20="","",IF(節數矩陣!H20&gt;0,$C20,""))</f>
        <v/>
      </c>
      <c r="I20" s="10"/>
      <c r="J20" s="10"/>
      <c r="K20" s="10"/>
      <c r="L20" s="10"/>
      <c r="M20" s="22" t="str">
        <f aca="false">IF($A20="","",IF(節數矩陣!M20&gt;0,$C20,""))</f>
        <v/>
      </c>
      <c r="N20" s="10"/>
      <c r="O20" s="10"/>
      <c r="P20" s="22" t="str">
        <f aca="false">IF($A20="","",IF(節數矩陣!P20&gt;0,$C20,""))</f>
        <v/>
      </c>
      <c r="Q20" s="10"/>
      <c r="R20" s="10"/>
      <c r="S20" s="22" t="str">
        <f aca="false">IF($A20="","",IF(節數矩陣!S20&gt;0,$C20,""))</f>
        <v/>
      </c>
      <c r="T20" s="10"/>
      <c r="U20" s="22" t="str">
        <f aca="false">IF($A20="","",IF(節數矩陣!U20&gt;0,$C20,""))</f>
        <v/>
      </c>
    </row>
    <row r="21" customFormat="false" ht="15" hidden="false" customHeight="true" outlineLevel="0" collapsed="false">
      <c r="A21" s="13" t="str">
        <f aca="false">IF(班級基本資料!A21="","",班級基本資料!A21)</f>
        <v/>
      </c>
      <c r="B21" s="13" t="str">
        <f aca="false">IF(班級基本資料!A21="","",班級基本資料!B21)</f>
        <v/>
      </c>
      <c r="C21" s="13" t="str">
        <f aca="false">IF(班級基本資料!A21="","",班級基本資料!C21)</f>
        <v/>
      </c>
      <c r="D21" s="22" t="str">
        <f aca="false">IF($A21="","",IF(節數矩陣!D21&gt;0,$C21,""))</f>
        <v/>
      </c>
      <c r="E21" s="10"/>
      <c r="F21" s="10"/>
      <c r="G21" s="22" t="str">
        <f aca="false">IF($A21="","",IF(節數矩陣!G21&gt;0,$C21,""))</f>
        <v/>
      </c>
      <c r="H21" s="22" t="str">
        <f aca="false">IF($A21="","",IF(節數矩陣!H21&gt;0,$C21,""))</f>
        <v/>
      </c>
      <c r="I21" s="10"/>
      <c r="J21" s="10"/>
      <c r="K21" s="10"/>
      <c r="L21" s="10"/>
      <c r="M21" s="22" t="str">
        <f aca="false">IF($A21="","",IF(節數矩陣!M21&gt;0,$C21,""))</f>
        <v/>
      </c>
      <c r="N21" s="10"/>
      <c r="O21" s="10"/>
      <c r="P21" s="22" t="str">
        <f aca="false">IF($A21="","",IF(節數矩陣!P21&gt;0,$C21,""))</f>
        <v/>
      </c>
      <c r="Q21" s="10"/>
      <c r="R21" s="10"/>
      <c r="S21" s="22" t="str">
        <f aca="false">IF($A21="","",IF(節數矩陣!S21&gt;0,$C21,""))</f>
        <v/>
      </c>
      <c r="T21" s="10"/>
      <c r="U21" s="22" t="str">
        <f aca="false">IF($A21="","",IF(節數矩陣!U21&gt;0,$C21,""))</f>
        <v/>
      </c>
    </row>
    <row r="22" customFormat="false" ht="15" hidden="false" customHeight="true" outlineLevel="0" collapsed="false">
      <c r="A22" s="13" t="str">
        <f aca="false">IF(班級基本資料!A22="","",班級基本資料!A22)</f>
        <v/>
      </c>
      <c r="B22" s="13" t="str">
        <f aca="false">IF(班級基本資料!A22="","",班級基本資料!B22)</f>
        <v/>
      </c>
      <c r="C22" s="13" t="str">
        <f aca="false">IF(班級基本資料!A22="","",班級基本資料!C22)</f>
        <v/>
      </c>
      <c r="D22" s="22" t="str">
        <f aca="false">IF($A22="","",IF(節數矩陣!D22&gt;0,$C22,""))</f>
        <v/>
      </c>
      <c r="E22" s="10"/>
      <c r="F22" s="10"/>
      <c r="G22" s="22" t="str">
        <f aca="false">IF($A22="","",IF(節數矩陣!G22&gt;0,$C22,""))</f>
        <v/>
      </c>
      <c r="H22" s="22" t="str">
        <f aca="false">IF($A22="","",IF(節數矩陣!H22&gt;0,$C22,""))</f>
        <v/>
      </c>
      <c r="I22" s="10"/>
      <c r="J22" s="10"/>
      <c r="K22" s="10"/>
      <c r="L22" s="10"/>
      <c r="M22" s="22" t="str">
        <f aca="false">IF($A22="","",IF(節數矩陣!M22&gt;0,$C22,""))</f>
        <v/>
      </c>
      <c r="N22" s="10"/>
      <c r="O22" s="10"/>
      <c r="P22" s="22" t="str">
        <f aca="false">IF($A22="","",IF(節數矩陣!P22&gt;0,$C22,""))</f>
        <v/>
      </c>
      <c r="Q22" s="10"/>
      <c r="R22" s="10"/>
      <c r="S22" s="22" t="str">
        <f aca="false">IF($A22="","",IF(節數矩陣!S22&gt;0,$C22,""))</f>
        <v/>
      </c>
      <c r="T22" s="10"/>
      <c r="U22" s="22" t="str">
        <f aca="false">IF($A22="","",IF(節數矩陣!U22&gt;0,$C22,""))</f>
        <v/>
      </c>
    </row>
    <row r="23" customFormat="false" ht="15" hidden="false" customHeight="true" outlineLevel="0" collapsed="false">
      <c r="A23" s="13" t="str">
        <f aca="false">IF(班級基本資料!A23="","",班級基本資料!A23)</f>
        <v/>
      </c>
      <c r="B23" s="13" t="str">
        <f aca="false">IF(班級基本資料!A23="","",班級基本資料!B23)</f>
        <v/>
      </c>
      <c r="C23" s="13" t="str">
        <f aca="false">IF(班級基本資料!A23="","",班級基本資料!C23)</f>
        <v/>
      </c>
      <c r="D23" s="22" t="str">
        <f aca="false">IF($A23="","",IF(節數矩陣!D23&gt;0,$C23,""))</f>
        <v/>
      </c>
      <c r="E23" s="10"/>
      <c r="F23" s="10"/>
      <c r="G23" s="22" t="str">
        <f aca="false">IF($A23="","",IF(節數矩陣!G23&gt;0,$C23,""))</f>
        <v/>
      </c>
      <c r="H23" s="22" t="str">
        <f aca="false">IF($A23="","",IF(節數矩陣!H23&gt;0,$C23,""))</f>
        <v/>
      </c>
      <c r="I23" s="10"/>
      <c r="J23" s="10"/>
      <c r="K23" s="10"/>
      <c r="L23" s="10"/>
      <c r="M23" s="22" t="str">
        <f aca="false">IF($A23="","",IF(節數矩陣!M23&gt;0,$C23,""))</f>
        <v/>
      </c>
      <c r="N23" s="10"/>
      <c r="O23" s="10"/>
      <c r="P23" s="22" t="str">
        <f aca="false">IF($A23="","",IF(節數矩陣!P23&gt;0,$C23,""))</f>
        <v/>
      </c>
      <c r="Q23" s="10"/>
      <c r="R23" s="10"/>
      <c r="S23" s="22" t="str">
        <f aca="false">IF($A23="","",IF(節數矩陣!S23&gt;0,$C23,""))</f>
        <v/>
      </c>
      <c r="T23" s="10"/>
      <c r="U23" s="22" t="str">
        <f aca="false">IF($A23="","",IF(節數矩陣!U23&gt;0,$C23,""))</f>
        <v/>
      </c>
    </row>
    <row r="24" customFormat="false" ht="15" hidden="false" customHeight="true" outlineLevel="0" collapsed="false">
      <c r="A24" s="13" t="str">
        <f aca="false">IF(班級基本資料!A24="","",班級基本資料!A24)</f>
        <v/>
      </c>
      <c r="B24" s="13" t="str">
        <f aca="false">IF(班級基本資料!A24="","",班級基本資料!B24)</f>
        <v/>
      </c>
      <c r="C24" s="13" t="str">
        <f aca="false">IF(班級基本資料!A24="","",班級基本資料!C24)</f>
        <v/>
      </c>
      <c r="D24" s="22" t="str">
        <f aca="false">IF($A24="","",IF(節數矩陣!D24&gt;0,$C24,""))</f>
        <v/>
      </c>
      <c r="E24" s="10"/>
      <c r="F24" s="10"/>
      <c r="G24" s="22" t="str">
        <f aca="false">IF($A24="","",IF(節數矩陣!G24&gt;0,$C24,""))</f>
        <v/>
      </c>
      <c r="H24" s="22" t="str">
        <f aca="false">IF($A24="","",IF(節數矩陣!H24&gt;0,$C24,""))</f>
        <v/>
      </c>
      <c r="I24" s="10"/>
      <c r="J24" s="10"/>
      <c r="K24" s="10"/>
      <c r="L24" s="10"/>
      <c r="M24" s="22" t="str">
        <f aca="false">IF($A24="","",IF(節數矩陣!M24&gt;0,$C24,""))</f>
        <v/>
      </c>
      <c r="N24" s="10"/>
      <c r="O24" s="10"/>
      <c r="P24" s="22" t="str">
        <f aca="false">IF($A24="","",IF(節數矩陣!P24&gt;0,$C24,""))</f>
        <v/>
      </c>
      <c r="Q24" s="10"/>
      <c r="R24" s="10"/>
      <c r="S24" s="22" t="str">
        <f aca="false">IF($A24="","",IF(節數矩陣!S24&gt;0,$C24,""))</f>
        <v/>
      </c>
      <c r="T24" s="10"/>
      <c r="U24" s="22" t="str">
        <f aca="false">IF($A24="","",IF(節數矩陣!U24&gt;0,$C24,""))</f>
        <v/>
      </c>
    </row>
    <row r="25" customFormat="false" ht="15" hidden="false" customHeight="true" outlineLevel="0" collapsed="false">
      <c r="A25" s="13" t="str">
        <f aca="false">IF(班級基本資料!A25="","",班級基本資料!A25)</f>
        <v/>
      </c>
      <c r="B25" s="13" t="str">
        <f aca="false">IF(班級基本資料!A25="","",班級基本資料!B25)</f>
        <v/>
      </c>
      <c r="C25" s="13" t="str">
        <f aca="false">IF(班級基本資料!A25="","",班級基本資料!C25)</f>
        <v/>
      </c>
      <c r="D25" s="22" t="str">
        <f aca="false">IF($A25="","",IF(節數矩陣!D25&gt;0,$C25,""))</f>
        <v/>
      </c>
      <c r="E25" s="10"/>
      <c r="F25" s="10"/>
      <c r="G25" s="22" t="str">
        <f aca="false">IF($A25="","",IF(節數矩陣!G25&gt;0,$C25,""))</f>
        <v/>
      </c>
      <c r="H25" s="22" t="str">
        <f aca="false">IF($A25="","",IF(節數矩陣!H25&gt;0,$C25,""))</f>
        <v/>
      </c>
      <c r="I25" s="10"/>
      <c r="J25" s="10"/>
      <c r="K25" s="10"/>
      <c r="L25" s="10"/>
      <c r="M25" s="22" t="str">
        <f aca="false">IF($A25="","",IF(節數矩陣!M25&gt;0,$C25,""))</f>
        <v/>
      </c>
      <c r="N25" s="10"/>
      <c r="O25" s="10"/>
      <c r="P25" s="22" t="str">
        <f aca="false">IF($A25="","",IF(節數矩陣!P25&gt;0,$C25,""))</f>
        <v/>
      </c>
      <c r="Q25" s="10"/>
      <c r="R25" s="10"/>
      <c r="S25" s="22" t="str">
        <f aca="false">IF($A25="","",IF(節數矩陣!S25&gt;0,$C25,""))</f>
        <v/>
      </c>
      <c r="T25" s="10"/>
      <c r="U25" s="22" t="str">
        <f aca="false">IF($A25="","",IF(節數矩陣!U25&gt;0,$C25,""))</f>
        <v/>
      </c>
    </row>
    <row r="26" customFormat="false" ht="15" hidden="false" customHeight="true" outlineLevel="0" collapsed="false">
      <c r="A26" s="13" t="str">
        <f aca="false">IF(班級基本資料!A26="","",班級基本資料!A26)</f>
        <v/>
      </c>
      <c r="B26" s="13" t="str">
        <f aca="false">IF(班級基本資料!A26="","",班級基本資料!B26)</f>
        <v/>
      </c>
      <c r="C26" s="13" t="str">
        <f aca="false">IF(班級基本資料!A26="","",班級基本資料!C26)</f>
        <v/>
      </c>
      <c r="D26" s="22" t="str">
        <f aca="false">IF($A26="","",IF(節數矩陣!D26&gt;0,$C26,""))</f>
        <v/>
      </c>
      <c r="E26" s="10"/>
      <c r="F26" s="10"/>
      <c r="G26" s="22" t="str">
        <f aca="false">IF($A26="","",IF(節數矩陣!G26&gt;0,$C26,""))</f>
        <v/>
      </c>
      <c r="H26" s="22" t="str">
        <f aca="false">IF($A26="","",IF(節數矩陣!H26&gt;0,$C26,""))</f>
        <v/>
      </c>
      <c r="I26" s="10"/>
      <c r="J26" s="10"/>
      <c r="K26" s="10"/>
      <c r="L26" s="10"/>
      <c r="M26" s="22" t="str">
        <f aca="false">IF($A26="","",IF(節數矩陣!M26&gt;0,$C26,""))</f>
        <v/>
      </c>
      <c r="N26" s="10"/>
      <c r="O26" s="10"/>
      <c r="P26" s="22" t="str">
        <f aca="false">IF($A26="","",IF(節數矩陣!P26&gt;0,$C26,""))</f>
        <v/>
      </c>
      <c r="Q26" s="10"/>
      <c r="R26" s="10"/>
      <c r="S26" s="22" t="str">
        <f aca="false">IF($A26="","",IF(節數矩陣!S26&gt;0,$C26,""))</f>
        <v/>
      </c>
      <c r="T26" s="10"/>
      <c r="U26" s="22" t="str">
        <f aca="false">IF($A26="","",IF(節數矩陣!U26&gt;0,$C26,""))</f>
        <v/>
      </c>
    </row>
    <row r="27" customFormat="false" ht="15" hidden="false" customHeight="true" outlineLevel="0" collapsed="false">
      <c r="A27" s="13" t="str">
        <f aca="false">IF(班級基本資料!A27="","",班級基本資料!A27)</f>
        <v/>
      </c>
      <c r="B27" s="13" t="str">
        <f aca="false">IF(班級基本資料!A27="","",班級基本資料!B27)</f>
        <v/>
      </c>
      <c r="C27" s="13" t="str">
        <f aca="false">IF(班級基本資料!A27="","",班級基本資料!C27)</f>
        <v/>
      </c>
      <c r="D27" s="22" t="str">
        <f aca="false">IF($A27="","",IF(節數矩陣!D27&gt;0,$C27,""))</f>
        <v/>
      </c>
      <c r="E27" s="10"/>
      <c r="F27" s="10"/>
      <c r="G27" s="22" t="str">
        <f aca="false">IF($A27="","",IF(節數矩陣!G27&gt;0,$C27,""))</f>
        <v/>
      </c>
      <c r="H27" s="22" t="str">
        <f aca="false">IF($A27="","",IF(節數矩陣!H27&gt;0,$C27,""))</f>
        <v/>
      </c>
      <c r="I27" s="10"/>
      <c r="J27" s="10"/>
      <c r="K27" s="10"/>
      <c r="L27" s="10"/>
      <c r="M27" s="22" t="str">
        <f aca="false">IF($A27="","",IF(節數矩陣!M27&gt;0,$C27,""))</f>
        <v/>
      </c>
      <c r="N27" s="10"/>
      <c r="O27" s="10"/>
      <c r="P27" s="22" t="str">
        <f aca="false">IF($A27="","",IF(節數矩陣!P27&gt;0,$C27,""))</f>
        <v/>
      </c>
      <c r="Q27" s="10"/>
      <c r="R27" s="10"/>
      <c r="S27" s="22" t="str">
        <f aca="false">IF($A27="","",IF(節數矩陣!S27&gt;0,$C27,""))</f>
        <v/>
      </c>
      <c r="T27" s="10"/>
      <c r="U27" s="22" t="str">
        <f aca="false">IF($A27="","",IF(節數矩陣!U27&gt;0,$C27,""))</f>
        <v/>
      </c>
    </row>
    <row r="28" customFormat="false" ht="15" hidden="false" customHeight="true" outlineLevel="0" collapsed="false">
      <c r="A28" s="13" t="str">
        <f aca="false">IF(班級基本資料!A28="","",班級基本資料!A28)</f>
        <v/>
      </c>
      <c r="B28" s="13" t="str">
        <f aca="false">IF(班級基本資料!A28="","",班級基本資料!B28)</f>
        <v/>
      </c>
      <c r="C28" s="13" t="str">
        <f aca="false">IF(班級基本資料!A28="","",班級基本資料!C28)</f>
        <v/>
      </c>
      <c r="D28" s="22" t="str">
        <f aca="false">IF($A28="","",IF(節數矩陣!D28&gt;0,$C28,""))</f>
        <v/>
      </c>
      <c r="E28" s="10"/>
      <c r="F28" s="10"/>
      <c r="G28" s="22" t="str">
        <f aca="false">IF($A28="","",IF(節數矩陣!G28&gt;0,$C28,""))</f>
        <v/>
      </c>
      <c r="H28" s="22" t="str">
        <f aca="false">IF($A28="","",IF(節數矩陣!H28&gt;0,$C28,""))</f>
        <v/>
      </c>
      <c r="I28" s="10"/>
      <c r="J28" s="10"/>
      <c r="K28" s="10"/>
      <c r="L28" s="10"/>
      <c r="M28" s="22" t="str">
        <f aca="false">IF($A28="","",IF(節數矩陣!M28&gt;0,$C28,""))</f>
        <v/>
      </c>
      <c r="N28" s="10"/>
      <c r="O28" s="10"/>
      <c r="P28" s="22" t="str">
        <f aca="false">IF($A28="","",IF(節數矩陣!P28&gt;0,$C28,""))</f>
        <v/>
      </c>
      <c r="Q28" s="10"/>
      <c r="R28" s="10"/>
      <c r="S28" s="22" t="str">
        <f aca="false">IF($A28="","",IF(節數矩陣!S28&gt;0,$C28,""))</f>
        <v/>
      </c>
      <c r="T28" s="10"/>
      <c r="U28" s="22" t="str">
        <f aca="false">IF($A28="","",IF(節數矩陣!U28&gt;0,$C28,""))</f>
        <v/>
      </c>
    </row>
    <row r="29" customFormat="false" ht="15" hidden="false" customHeight="true" outlineLevel="0" collapsed="false">
      <c r="A29" s="13" t="str">
        <f aca="false">IF(班級基本資料!A29="","",班級基本資料!A29)</f>
        <v/>
      </c>
      <c r="B29" s="13" t="str">
        <f aca="false">IF(班級基本資料!A29="","",班級基本資料!B29)</f>
        <v/>
      </c>
      <c r="C29" s="13" t="str">
        <f aca="false">IF(班級基本資料!A29="","",班級基本資料!C29)</f>
        <v/>
      </c>
      <c r="D29" s="22" t="str">
        <f aca="false">IF($A29="","",IF(節數矩陣!D29&gt;0,$C29,""))</f>
        <v/>
      </c>
      <c r="E29" s="10"/>
      <c r="F29" s="10"/>
      <c r="G29" s="22" t="str">
        <f aca="false">IF($A29="","",IF(節數矩陣!G29&gt;0,$C29,""))</f>
        <v/>
      </c>
      <c r="H29" s="22" t="str">
        <f aca="false">IF($A29="","",IF(節數矩陣!H29&gt;0,$C29,""))</f>
        <v/>
      </c>
      <c r="I29" s="10"/>
      <c r="J29" s="10"/>
      <c r="K29" s="10"/>
      <c r="L29" s="10"/>
      <c r="M29" s="22" t="str">
        <f aca="false">IF($A29="","",IF(節數矩陣!M29&gt;0,$C29,""))</f>
        <v/>
      </c>
      <c r="N29" s="10"/>
      <c r="O29" s="10"/>
      <c r="P29" s="22" t="str">
        <f aca="false">IF($A29="","",IF(節數矩陣!P29&gt;0,$C29,""))</f>
        <v/>
      </c>
      <c r="Q29" s="10"/>
      <c r="R29" s="10"/>
      <c r="S29" s="22" t="str">
        <f aca="false">IF($A29="","",IF(節數矩陣!S29&gt;0,$C29,""))</f>
        <v/>
      </c>
      <c r="T29" s="10"/>
      <c r="U29" s="22" t="str">
        <f aca="false">IF($A29="","",IF(節數矩陣!U29&gt;0,$C29,""))</f>
        <v/>
      </c>
    </row>
    <row r="30" customFormat="false" ht="15" hidden="false" customHeight="true" outlineLevel="0" collapsed="false">
      <c r="A30" s="13" t="str">
        <f aca="false">IF(班級基本資料!A30="","",班級基本資料!A30)</f>
        <v/>
      </c>
      <c r="B30" s="13" t="str">
        <f aca="false">IF(班級基本資料!A30="","",班級基本資料!B30)</f>
        <v/>
      </c>
      <c r="C30" s="13" t="str">
        <f aca="false">IF(班級基本資料!A30="","",班級基本資料!C30)</f>
        <v/>
      </c>
      <c r="D30" s="22" t="str">
        <f aca="false">IF($A30="","",IF(節數矩陣!D30&gt;0,$C30,""))</f>
        <v/>
      </c>
      <c r="E30" s="10"/>
      <c r="F30" s="10"/>
      <c r="G30" s="22" t="str">
        <f aca="false">IF($A30="","",IF(節數矩陣!G30&gt;0,$C30,""))</f>
        <v/>
      </c>
      <c r="H30" s="22" t="str">
        <f aca="false">IF($A30="","",IF(節數矩陣!H30&gt;0,$C30,""))</f>
        <v/>
      </c>
      <c r="I30" s="10"/>
      <c r="J30" s="10"/>
      <c r="K30" s="10"/>
      <c r="L30" s="10"/>
      <c r="M30" s="22" t="str">
        <f aca="false">IF($A30="","",IF(節數矩陣!M30&gt;0,$C30,""))</f>
        <v/>
      </c>
      <c r="N30" s="10"/>
      <c r="O30" s="10"/>
      <c r="P30" s="22" t="str">
        <f aca="false">IF($A30="","",IF(節數矩陣!P30&gt;0,$C30,""))</f>
        <v/>
      </c>
      <c r="Q30" s="10"/>
      <c r="R30" s="10"/>
      <c r="S30" s="22" t="str">
        <f aca="false">IF($A30="","",IF(節數矩陣!S30&gt;0,$C30,""))</f>
        <v/>
      </c>
      <c r="T30" s="10"/>
      <c r="U30" s="22" t="str">
        <f aca="false">IF($A30="","",IF(節數矩陣!U30&gt;0,$C30,""))</f>
        <v/>
      </c>
    </row>
    <row r="31" customFormat="false" ht="15" hidden="false" customHeight="true" outlineLevel="0" collapsed="false">
      <c r="A31" s="13" t="str">
        <f aca="false">IF(班級基本資料!A31="","",班級基本資料!A31)</f>
        <v/>
      </c>
      <c r="B31" s="13" t="str">
        <f aca="false">IF(班級基本資料!A31="","",班級基本資料!B31)</f>
        <v/>
      </c>
      <c r="C31" s="13" t="str">
        <f aca="false">IF(班級基本資料!A31="","",班級基本資料!C31)</f>
        <v/>
      </c>
      <c r="D31" s="22" t="str">
        <f aca="false">IF($A31="","",IF(節數矩陣!D31&gt;0,$C31,""))</f>
        <v/>
      </c>
      <c r="E31" s="10"/>
      <c r="F31" s="10"/>
      <c r="G31" s="22" t="str">
        <f aca="false">IF($A31="","",IF(節數矩陣!G31&gt;0,$C31,""))</f>
        <v/>
      </c>
      <c r="H31" s="22" t="str">
        <f aca="false">IF($A31="","",IF(節數矩陣!H31&gt;0,$C31,""))</f>
        <v/>
      </c>
      <c r="I31" s="10"/>
      <c r="J31" s="10"/>
      <c r="K31" s="10"/>
      <c r="L31" s="10"/>
      <c r="M31" s="22" t="str">
        <f aca="false">IF($A31="","",IF(節數矩陣!M31&gt;0,$C31,""))</f>
        <v/>
      </c>
      <c r="N31" s="10"/>
      <c r="O31" s="10"/>
      <c r="P31" s="22" t="str">
        <f aca="false">IF($A31="","",IF(節數矩陣!P31&gt;0,$C31,""))</f>
        <v/>
      </c>
      <c r="Q31" s="10"/>
      <c r="R31" s="10"/>
      <c r="S31" s="22" t="str">
        <f aca="false">IF($A31="","",IF(節數矩陣!S31&gt;0,$C31,""))</f>
        <v/>
      </c>
      <c r="T31" s="10"/>
      <c r="U31" s="22" t="str">
        <f aca="false">IF($A31="","",IF(節數矩陣!U31&gt;0,$C31,""))</f>
        <v/>
      </c>
    </row>
    <row r="32" customFormat="false" ht="15" hidden="false" customHeight="true" outlineLevel="0" collapsed="false">
      <c r="A32" s="13" t="str">
        <f aca="false">IF(班級基本資料!A32="","",班級基本資料!A32)</f>
        <v/>
      </c>
      <c r="B32" s="13" t="str">
        <f aca="false">IF(班級基本資料!A32="","",班級基本資料!B32)</f>
        <v/>
      </c>
      <c r="C32" s="13" t="str">
        <f aca="false">IF(班級基本資料!A32="","",班級基本資料!C32)</f>
        <v/>
      </c>
      <c r="D32" s="22" t="str">
        <f aca="false">IF($A32="","",IF(節數矩陣!D32&gt;0,$C32,""))</f>
        <v/>
      </c>
      <c r="E32" s="10"/>
      <c r="F32" s="10"/>
      <c r="G32" s="22" t="str">
        <f aca="false">IF($A32="","",IF(節數矩陣!G32&gt;0,$C32,""))</f>
        <v/>
      </c>
      <c r="H32" s="22" t="str">
        <f aca="false">IF($A32="","",IF(節數矩陣!H32&gt;0,$C32,""))</f>
        <v/>
      </c>
      <c r="I32" s="10"/>
      <c r="J32" s="10"/>
      <c r="K32" s="10"/>
      <c r="L32" s="10"/>
      <c r="M32" s="22" t="str">
        <f aca="false">IF($A32="","",IF(節數矩陣!M32&gt;0,$C32,""))</f>
        <v/>
      </c>
      <c r="N32" s="10"/>
      <c r="O32" s="10"/>
      <c r="P32" s="22" t="str">
        <f aca="false">IF($A32="","",IF(節數矩陣!P32&gt;0,$C32,""))</f>
        <v/>
      </c>
      <c r="Q32" s="10"/>
      <c r="R32" s="10"/>
      <c r="S32" s="22" t="str">
        <f aca="false">IF($A32="","",IF(節數矩陣!S32&gt;0,$C32,""))</f>
        <v/>
      </c>
      <c r="T32" s="10"/>
      <c r="U32" s="22" t="str">
        <f aca="false">IF($A32="","",IF(節數矩陣!U32&gt;0,$C32,""))</f>
        <v/>
      </c>
    </row>
    <row r="33" customFormat="false" ht="15" hidden="false" customHeight="true" outlineLevel="0" collapsed="false">
      <c r="A33" s="13" t="str">
        <f aca="false">IF(班級基本資料!A33="","",班級基本資料!A33)</f>
        <v/>
      </c>
      <c r="B33" s="13" t="str">
        <f aca="false">IF(班級基本資料!A33="","",班級基本資料!B33)</f>
        <v/>
      </c>
      <c r="C33" s="13" t="str">
        <f aca="false">IF(班級基本資料!A33="","",班級基本資料!C33)</f>
        <v/>
      </c>
      <c r="D33" s="22" t="str">
        <f aca="false">IF($A33="","",IF(節數矩陣!D33&gt;0,$C33,""))</f>
        <v/>
      </c>
      <c r="E33" s="10"/>
      <c r="F33" s="10"/>
      <c r="G33" s="22" t="str">
        <f aca="false">IF($A33="","",IF(節數矩陣!G33&gt;0,$C33,""))</f>
        <v/>
      </c>
      <c r="H33" s="22" t="str">
        <f aca="false">IF($A33="","",IF(節數矩陣!H33&gt;0,$C33,""))</f>
        <v/>
      </c>
      <c r="I33" s="10"/>
      <c r="J33" s="10"/>
      <c r="K33" s="10"/>
      <c r="L33" s="10"/>
      <c r="M33" s="22" t="str">
        <f aca="false">IF($A33="","",IF(節數矩陣!M33&gt;0,$C33,""))</f>
        <v/>
      </c>
      <c r="N33" s="10"/>
      <c r="O33" s="10"/>
      <c r="P33" s="22" t="str">
        <f aca="false">IF($A33="","",IF(節數矩陣!P33&gt;0,$C33,""))</f>
        <v/>
      </c>
      <c r="Q33" s="10"/>
      <c r="R33" s="10"/>
      <c r="S33" s="22" t="str">
        <f aca="false">IF($A33="","",IF(節數矩陣!S33&gt;0,$C33,""))</f>
        <v/>
      </c>
      <c r="T33" s="10"/>
      <c r="U33" s="22" t="str">
        <f aca="false">IF($A33="","",IF(節數矩陣!U33&gt;0,$C33,""))</f>
        <v/>
      </c>
    </row>
    <row r="34" customFormat="false" ht="15" hidden="false" customHeight="true" outlineLevel="0" collapsed="false">
      <c r="A34" s="13" t="str">
        <f aca="false">IF(班級基本資料!A34="","",班級基本資料!A34)</f>
        <v/>
      </c>
      <c r="B34" s="13" t="str">
        <f aca="false">IF(班級基本資料!A34="","",班級基本資料!B34)</f>
        <v/>
      </c>
      <c r="C34" s="13" t="str">
        <f aca="false">IF(班級基本資料!A34="","",班級基本資料!C34)</f>
        <v/>
      </c>
      <c r="D34" s="22" t="str">
        <f aca="false">IF($A34="","",IF(節數矩陣!D34&gt;0,$C34,""))</f>
        <v/>
      </c>
      <c r="E34" s="10"/>
      <c r="F34" s="10"/>
      <c r="G34" s="22" t="str">
        <f aca="false">IF($A34="","",IF(節數矩陣!G34&gt;0,$C34,""))</f>
        <v/>
      </c>
      <c r="H34" s="22" t="str">
        <f aca="false">IF($A34="","",IF(節數矩陣!H34&gt;0,$C34,""))</f>
        <v/>
      </c>
      <c r="I34" s="10"/>
      <c r="J34" s="10"/>
      <c r="K34" s="10"/>
      <c r="L34" s="10"/>
      <c r="M34" s="22" t="str">
        <f aca="false">IF($A34="","",IF(節數矩陣!M34&gt;0,$C34,""))</f>
        <v/>
      </c>
      <c r="N34" s="10"/>
      <c r="O34" s="10"/>
      <c r="P34" s="22" t="str">
        <f aca="false">IF($A34="","",IF(節數矩陣!P34&gt;0,$C34,""))</f>
        <v/>
      </c>
      <c r="Q34" s="10"/>
      <c r="R34" s="10"/>
      <c r="S34" s="22" t="str">
        <f aca="false">IF($A34="","",IF(節數矩陣!S34&gt;0,$C34,""))</f>
        <v/>
      </c>
      <c r="T34" s="10"/>
      <c r="U34" s="22" t="str">
        <f aca="false">IF($A34="","",IF(節數矩陣!U34&gt;0,$C34,""))</f>
        <v/>
      </c>
    </row>
    <row r="35" customFormat="false" ht="15" hidden="false" customHeight="true" outlineLevel="0" collapsed="false">
      <c r="A35" s="13" t="str">
        <f aca="false">IF(班級基本資料!A35="","",班級基本資料!A35)</f>
        <v/>
      </c>
      <c r="B35" s="13" t="str">
        <f aca="false">IF(班級基本資料!A35="","",班級基本資料!B35)</f>
        <v/>
      </c>
      <c r="C35" s="13" t="str">
        <f aca="false">IF(班級基本資料!A35="","",班級基本資料!C35)</f>
        <v/>
      </c>
      <c r="D35" s="22" t="str">
        <f aca="false">IF($A35="","",IF(節數矩陣!D35&gt;0,$C35,""))</f>
        <v/>
      </c>
      <c r="E35" s="10"/>
      <c r="F35" s="10"/>
      <c r="G35" s="22" t="str">
        <f aca="false">IF($A35="","",IF(節數矩陣!G35&gt;0,$C35,""))</f>
        <v/>
      </c>
      <c r="H35" s="22" t="str">
        <f aca="false">IF($A35="","",IF(節數矩陣!H35&gt;0,$C35,""))</f>
        <v/>
      </c>
      <c r="I35" s="10"/>
      <c r="J35" s="10"/>
      <c r="K35" s="10"/>
      <c r="L35" s="10"/>
      <c r="M35" s="22" t="str">
        <f aca="false">IF($A35="","",IF(節數矩陣!M35&gt;0,$C35,""))</f>
        <v/>
      </c>
      <c r="N35" s="10"/>
      <c r="O35" s="10"/>
      <c r="P35" s="22" t="str">
        <f aca="false">IF($A35="","",IF(節數矩陣!P35&gt;0,$C35,""))</f>
        <v/>
      </c>
      <c r="Q35" s="10"/>
      <c r="R35" s="10"/>
      <c r="S35" s="22" t="str">
        <f aca="false">IF($A35="","",IF(節數矩陣!S35&gt;0,$C35,""))</f>
        <v/>
      </c>
      <c r="T35" s="10"/>
      <c r="U35" s="22" t="str">
        <f aca="false">IF($A35="","",IF(節數矩陣!U35&gt;0,$C35,""))</f>
        <v/>
      </c>
    </row>
    <row r="36" customFormat="false" ht="15" hidden="false" customHeight="true" outlineLevel="0" collapsed="false">
      <c r="A36" s="13" t="str">
        <f aca="false">IF(班級基本資料!A36="","",班級基本資料!A36)</f>
        <v/>
      </c>
      <c r="B36" s="13" t="str">
        <f aca="false">IF(班級基本資料!A36="","",班級基本資料!B36)</f>
        <v/>
      </c>
      <c r="C36" s="13" t="str">
        <f aca="false">IF(班級基本資料!A36="","",班級基本資料!C36)</f>
        <v/>
      </c>
      <c r="D36" s="22" t="str">
        <f aca="false">IF($A36="","",IF(節數矩陣!D36&gt;0,$C36,""))</f>
        <v/>
      </c>
      <c r="E36" s="10"/>
      <c r="F36" s="10"/>
      <c r="G36" s="22" t="str">
        <f aca="false">IF($A36="","",IF(節數矩陣!G36&gt;0,$C36,""))</f>
        <v/>
      </c>
      <c r="H36" s="22" t="str">
        <f aca="false">IF($A36="","",IF(節數矩陣!H36&gt;0,$C36,""))</f>
        <v/>
      </c>
      <c r="I36" s="10"/>
      <c r="J36" s="10"/>
      <c r="K36" s="10"/>
      <c r="L36" s="10"/>
      <c r="M36" s="22" t="str">
        <f aca="false">IF($A36="","",IF(節數矩陣!M36&gt;0,$C36,""))</f>
        <v/>
      </c>
      <c r="N36" s="10"/>
      <c r="O36" s="10"/>
      <c r="P36" s="22" t="str">
        <f aca="false">IF($A36="","",IF(節數矩陣!P36&gt;0,$C36,""))</f>
        <v/>
      </c>
      <c r="Q36" s="10"/>
      <c r="R36" s="10"/>
      <c r="S36" s="22" t="str">
        <f aca="false">IF($A36="","",IF(節數矩陣!S36&gt;0,$C36,""))</f>
        <v/>
      </c>
      <c r="T36" s="10"/>
      <c r="U36" s="22" t="str">
        <f aca="false">IF($A36="","",IF(節數矩陣!U36&gt;0,$C36,""))</f>
        <v/>
      </c>
    </row>
    <row r="37" customFormat="false" ht="15" hidden="false" customHeight="true" outlineLevel="0" collapsed="false">
      <c r="A37" s="13" t="str">
        <f aca="false">IF(班級基本資料!A37="","",班級基本資料!A37)</f>
        <v/>
      </c>
      <c r="B37" s="13" t="str">
        <f aca="false">IF(班級基本資料!A37="","",班級基本資料!B37)</f>
        <v/>
      </c>
      <c r="C37" s="13" t="str">
        <f aca="false">IF(班級基本資料!A37="","",班級基本資料!C37)</f>
        <v/>
      </c>
      <c r="D37" s="22" t="str">
        <f aca="false">IF($A37="","",IF(節數矩陣!D37&gt;0,$C37,""))</f>
        <v/>
      </c>
      <c r="E37" s="10"/>
      <c r="F37" s="10"/>
      <c r="G37" s="22" t="str">
        <f aca="false">IF($A37="","",IF(節數矩陣!G37&gt;0,$C37,""))</f>
        <v/>
      </c>
      <c r="H37" s="22" t="str">
        <f aca="false">IF($A37="","",IF(節數矩陣!H37&gt;0,$C37,""))</f>
        <v/>
      </c>
      <c r="I37" s="10"/>
      <c r="J37" s="10"/>
      <c r="K37" s="10"/>
      <c r="L37" s="10"/>
      <c r="M37" s="22" t="str">
        <f aca="false">IF($A37="","",IF(節數矩陣!M37&gt;0,$C37,""))</f>
        <v/>
      </c>
      <c r="N37" s="10"/>
      <c r="O37" s="10"/>
      <c r="P37" s="22" t="str">
        <f aca="false">IF($A37="","",IF(節數矩陣!P37&gt;0,$C37,""))</f>
        <v/>
      </c>
      <c r="Q37" s="10"/>
      <c r="R37" s="10"/>
      <c r="S37" s="22" t="str">
        <f aca="false">IF($A37="","",IF(節數矩陣!S37&gt;0,$C37,""))</f>
        <v/>
      </c>
      <c r="T37" s="10"/>
      <c r="U37" s="22" t="str">
        <f aca="false">IF($A37="","",IF(節數矩陣!U37&gt;0,$C37,""))</f>
        <v/>
      </c>
    </row>
    <row r="38" customFormat="false" ht="15" hidden="false" customHeight="true" outlineLevel="0" collapsed="false">
      <c r="A38" s="13" t="str">
        <f aca="false">IF(班級基本資料!A38="","",班級基本資料!A38)</f>
        <v/>
      </c>
      <c r="B38" s="13" t="str">
        <f aca="false">IF(班級基本資料!A38="","",班級基本資料!B38)</f>
        <v/>
      </c>
      <c r="C38" s="13" t="str">
        <f aca="false">IF(班級基本資料!A38="","",班級基本資料!C38)</f>
        <v/>
      </c>
      <c r="D38" s="22" t="str">
        <f aca="false">IF($A38="","",IF(節數矩陣!D38&gt;0,$C38,""))</f>
        <v/>
      </c>
      <c r="E38" s="10"/>
      <c r="F38" s="10"/>
      <c r="G38" s="22" t="str">
        <f aca="false">IF($A38="","",IF(節數矩陣!G38&gt;0,$C38,""))</f>
        <v/>
      </c>
      <c r="H38" s="22" t="str">
        <f aca="false">IF($A38="","",IF(節數矩陣!H38&gt;0,$C38,""))</f>
        <v/>
      </c>
      <c r="I38" s="10"/>
      <c r="J38" s="10"/>
      <c r="K38" s="10"/>
      <c r="L38" s="10"/>
      <c r="M38" s="22" t="str">
        <f aca="false">IF($A38="","",IF(節數矩陣!M38&gt;0,$C38,""))</f>
        <v/>
      </c>
      <c r="N38" s="10"/>
      <c r="O38" s="10"/>
      <c r="P38" s="22" t="str">
        <f aca="false">IF($A38="","",IF(節數矩陣!P38&gt;0,$C38,""))</f>
        <v/>
      </c>
      <c r="Q38" s="10"/>
      <c r="R38" s="10"/>
      <c r="S38" s="22" t="str">
        <f aca="false">IF($A38="","",IF(節數矩陣!S38&gt;0,$C38,""))</f>
        <v/>
      </c>
      <c r="T38" s="10"/>
      <c r="U38" s="22" t="str">
        <f aca="false">IF($A38="","",IF(節數矩陣!U38&gt;0,$C38,""))</f>
        <v/>
      </c>
    </row>
    <row r="39" customFormat="false" ht="15" hidden="false" customHeight="true" outlineLevel="0" collapsed="false">
      <c r="A39" s="13" t="str">
        <f aca="false">IF(班級基本資料!A39="","",班級基本資料!A39)</f>
        <v/>
      </c>
      <c r="B39" s="13" t="str">
        <f aca="false">IF(班級基本資料!A39="","",班級基本資料!B39)</f>
        <v/>
      </c>
      <c r="C39" s="13" t="str">
        <f aca="false">IF(班級基本資料!A39="","",班級基本資料!C39)</f>
        <v/>
      </c>
      <c r="D39" s="22" t="str">
        <f aca="false">IF($A39="","",IF(節數矩陣!D39&gt;0,$C39,""))</f>
        <v/>
      </c>
      <c r="E39" s="10"/>
      <c r="F39" s="10"/>
      <c r="G39" s="22" t="str">
        <f aca="false">IF($A39="","",IF(節數矩陣!G39&gt;0,$C39,""))</f>
        <v/>
      </c>
      <c r="H39" s="22" t="str">
        <f aca="false">IF($A39="","",IF(節數矩陣!H39&gt;0,$C39,""))</f>
        <v/>
      </c>
      <c r="I39" s="10"/>
      <c r="J39" s="10"/>
      <c r="K39" s="10"/>
      <c r="L39" s="10"/>
      <c r="M39" s="22" t="str">
        <f aca="false">IF($A39="","",IF(節數矩陣!M39&gt;0,$C39,""))</f>
        <v/>
      </c>
      <c r="N39" s="10"/>
      <c r="O39" s="10"/>
      <c r="P39" s="22" t="str">
        <f aca="false">IF($A39="","",IF(節數矩陣!P39&gt;0,$C39,""))</f>
        <v/>
      </c>
      <c r="Q39" s="10"/>
      <c r="R39" s="10"/>
      <c r="S39" s="22" t="str">
        <f aca="false">IF($A39="","",IF(節數矩陣!S39&gt;0,$C39,""))</f>
        <v/>
      </c>
      <c r="T39" s="10"/>
      <c r="U39" s="22" t="str">
        <f aca="false">IF($A39="","",IF(節數矩陣!U39&gt;0,$C39,""))</f>
        <v/>
      </c>
    </row>
    <row r="40" customFormat="false" ht="15" hidden="false" customHeight="true" outlineLevel="0" collapsed="false">
      <c r="A40" s="13" t="str">
        <f aca="false">IF(班級基本資料!A40="","",班級基本資料!A40)</f>
        <v/>
      </c>
      <c r="B40" s="13" t="str">
        <f aca="false">IF(班級基本資料!A40="","",班級基本資料!B40)</f>
        <v/>
      </c>
      <c r="C40" s="13" t="str">
        <f aca="false">IF(班級基本資料!A40="","",班級基本資料!C40)</f>
        <v/>
      </c>
      <c r="D40" s="22" t="str">
        <f aca="false">IF($A40="","",IF(節數矩陣!D40&gt;0,$C40,""))</f>
        <v/>
      </c>
      <c r="E40" s="10"/>
      <c r="F40" s="10"/>
      <c r="G40" s="22" t="str">
        <f aca="false">IF($A40="","",IF(節數矩陣!G40&gt;0,$C40,""))</f>
        <v/>
      </c>
      <c r="H40" s="22" t="str">
        <f aca="false">IF($A40="","",IF(節數矩陣!H40&gt;0,$C40,""))</f>
        <v/>
      </c>
      <c r="I40" s="10"/>
      <c r="J40" s="10"/>
      <c r="K40" s="10"/>
      <c r="L40" s="10"/>
      <c r="M40" s="22" t="str">
        <f aca="false">IF($A40="","",IF(節數矩陣!M40&gt;0,$C40,""))</f>
        <v/>
      </c>
      <c r="N40" s="10"/>
      <c r="O40" s="10"/>
      <c r="P40" s="22" t="str">
        <f aca="false">IF($A40="","",IF(節數矩陣!P40&gt;0,$C40,""))</f>
        <v/>
      </c>
      <c r="Q40" s="10"/>
      <c r="R40" s="10"/>
      <c r="S40" s="22" t="str">
        <f aca="false">IF($A40="","",IF(節數矩陣!S40&gt;0,$C40,""))</f>
        <v/>
      </c>
      <c r="T40" s="10"/>
      <c r="U40" s="22" t="str">
        <f aca="false">IF($A40="","",IF(節數矩陣!U40&gt;0,$C40,""))</f>
        <v/>
      </c>
    </row>
    <row r="41" customFormat="false" ht="15" hidden="false" customHeight="true" outlineLevel="0" collapsed="false">
      <c r="A41" s="13" t="str">
        <f aca="false">IF(班級基本資料!A41="","",班級基本資料!A41)</f>
        <v/>
      </c>
      <c r="B41" s="13" t="str">
        <f aca="false">IF(班級基本資料!A41="","",班級基本資料!B41)</f>
        <v/>
      </c>
      <c r="C41" s="13" t="str">
        <f aca="false">IF(班級基本資料!A41="","",班級基本資料!C41)</f>
        <v/>
      </c>
      <c r="D41" s="22" t="str">
        <f aca="false">IF($A41="","",IF(節數矩陣!D41&gt;0,$C41,""))</f>
        <v/>
      </c>
      <c r="E41" s="10"/>
      <c r="F41" s="10"/>
      <c r="G41" s="22" t="str">
        <f aca="false">IF($A41="","",IF(節數矩陣!G41&gt;0,$C41,""))</f>
        <v/>
      </c>
      <c r="H41" s="22" t="str">
        <f aca="false">IF($A41="","",IF(節數矩陣!H41&gt;0,$C41,""))</f>
        <v/>
      </c>
      <c r="I41" s="10"/>
      <c r="J41" s="10"/>
      <c r="K41" s="10"/>
      <c r="L41" s="10"/>
      <c r="M41" s="22" t="str">
        <f aca="false">IF($A41="","",IF(節數矩陣!M41&gt;0,$C41,""))</f>
        <v/>
      </c>
      <c r="N41" s="10"/>
      <c r="O41" s="10"/>
      <c r="P41" s="22" t="str">
        <f aca="false">IF($A41="","",IF(節數矩陣!P41&gt;0,$C41,""))</f>
        <v/>
      </c>
      <c r="Q41" s="10"/>
      <c r="R41" s="10"/>
      <c r="S41" s="22" t="str">
        <f aca="false">IF($A41="","",IF(節數矩陣!S41&gt;0,$C41,""))</f>
        <v/>
      </c>
      <c r="T41" s="10"/>
      <c r="U41" s="22" t="str">
        <f aca="false">IF($A41="","",IF(節數矩陣!U41&gt;0,$C41,""))</f>
        <v/>
      </c>
    </row>
  </sheetData>
  <dataValidations count="1">
    <dataValidation allowBlank="true" errorStyle="stop" operator="between" showDropDown="false" showErrorMessage="false" showInputMessage="false" sqref="D2:U41" type="list">
      <formula1>教師名冊!$A$2:$A$61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6"/>
    <col collapsed="false" customWidth="true" hidden="false" outlineLevel="0" max="5" min="5" style="1" width="46"/>
  </cols>
  <sheetData>
    <row r="1" customFormat="false" ht="15" hidden="false" customHeight="true" outlineLevel="0" collapsed="false">
      <c r="A1" s="15" t="s">
        <v>108</v>
      </c>
      <c r="B1" s="9" t="s">
        <v>109</v>
      </c>
      <c r="C1" s="9" t="s">
        <v>353</v>
      </c>
      <c r="D1" s="9" t="s">
        <v>235</v>
      </c>
      <c r="E1" s="9" t="s">
        <v>355</v>
      </c>
    </row>
    <row r="2" customFormat="false" ht="15" hidden="false" customHeight="true" outlineLevel="0" collapsed="false">
      <c r="A2" s="20" t="s">
        <v>121</v>
      </c>
      <c r="B2" s="13" t="str">
        <f aca="false">IFERROR(VLOOKUP(A2,設定_場地表!$A$2:$B$13,2,0),"")</f>
        <v>電腦教室</v>
      </c>
      <c r="C2" s="21" t="s">
        <v>149</v>
      </c>
      <c r="D2" s="20" t="n">
        <v>1</v>
      </c>
      <c r="E2" s="17" t="s">
        <v>369</v>
      </c>
    </row>
    <row r="3" customFormat="false" ht="15" hidden="false" customHeight="true" outlineLevel="0" collapsed="false">
      <c r="A3" s="11"/>
      <c r="B3" s="13" t="str">
        <f aca="false">IFERROR(VLOOKUP(A3,設定_場地表!$A$2:$B$13,2,0),"")</f>
        <v/>
      </c>
      <c r="C3" s="10"/>
      <c r="D3" s="11"/>
      <c r="E3" s="16"/>
    </row>
    <row r="4" customFormat="false" ht="15" hidden="false" customHeight="true" outlineLevel="0" collapsed="false">
      <c r="A4" s="11"/>
      <c r="B4" s="13" t="str">
        <f aca="false">IFERROR(VLOOKUP(A4,設定_場地表!$A$2:$B$13,2,0),"")</f>
        <v/>
      </c>
      <c r="C4" s="10"/>
      <c r="D4" s="11"/>
      <c r="E4" s="16"/>
    </row>
    <row r="5" customFormat="false" ht="15" hidden="false" customHeight="true" outlineLevel="0" collapsed="false">
      <c r="A5" s="11"/>
      <c r="B5" s="13" t="str">
        <f aca="false">IFERROR(VLOOKUP(A5,設定_場地表!$A$2:$B$13,2,0),"")</f>
        <v/>
      </c>
      <c r="C5" s="10"/>
      <c r="D5" s="11"/>
      <c r="E5" s="16"/>
    </row>
    <row r="6" customFormat="false" ht="15" hidden="false" customHeight="true" outlineLevel="0" collapsed="false">
      <c r="A6" s="11"/>
      <c r="B6" s="13" t="str">
        <f aca="false">IFERROR(VLOOKUP(A6,設定_場地表!$A$2:$B$13,2,0),"")</f>
        <v/>
      </c>
      <c r="C6" s="10"/>
      <c r="D6" s="11"/>
      <c r="E6" s="16"/>
    </row>
    <row r="7" customFormat="false" ht="15" hidden="false" customHeight="true" outlineLevel="0" collapsed="false">
      <c r="A7" s="11"/>
      <c r="B7" s="13" t="str">
        <f aca="false">IFERROR(VLOOKUP(A7,設定_場地表!$A$2:$B$13,2,0),"")</f>
        <v/>
      </c>
      <c r="C7" s="10"/>
      <c r="D7" s="11"/>
      <c r="E7" s="16"/>
    </row>
    <row r="8" customFormat="false" ht="15" hidden="false" customHeight="true" outlineLevel="0" collapsed="false">
      <c r="A8" s="11"/>
      <c r="B8" s="13" t="str">
        <f aca="false">IFERROR(VLOOKUP(A8,設定_場地表!$A$2:$B$13,2,0),"")</f>
        <v/>
      </c>
      <c r="C8" s="10"/>
      <c r="D8" s="11"/>
      <c r="E8" s="16"/>
    </row>
    <row r="9" customFormat="false" ht="15" hidden="false" customHeight="true" outlineLevel="0" collapsed="false">
      <c r="A9" s="11"/>
      <c r="B9" s="13" t="str">
        <f aca="false">IFERROR(VLOOKUP(A9,設定_場地表!$A$2:$B$13,2,0),"")</f>
        <v/>
      </c>
      <c r="C9" s="10"/>
      <c r="D9" s="11"/>
      <c r="E9" s="16"/>
    </row>
    <row r="10" customFormat="false" ht="15" hidden="false" customHeight="true" outlineLevel="0" collapsed="false">
      <c r="A10" s="11"/>
      <c r="B10" s="13" t="str">
        <f aca="false">IFERROR(VLOOKUP(A10,設定_場地表!$A$2:$B$13,2,0),"")</f>
        <v/>
      </c>
      <c r="C10" s="10"/>
      <c r="D10" s="11"/>
      <c r="E10" s="16"/>
    </row>
    <row r="11" customFormat="false" ht="15" hidden="false" customHeight="true" outlineLevel="0" collapsed="false">
      <c r="A11" s="11"/>
      <c r="B11" s="13" t="str">
        <f aca="false">IFERROR(VLOOKUP(A11,設定_場地表!$A$2:$B$13,2,0),"")</f>
        <v/>
      </c>
      <c r="C11" s="10"/>
      <c r="D11" s="11"/>
      <c r="E11" s="16"/>
    </row>
    <row r="12" customFormat="false" ht="15" hidden="false" customHeight="true" outlineLevel="0" collapsed="false">
      <c r="A12" s="11"/>
      <c r="B12" s="13" t="str">
        <f aca="false">IFERROR(VLOOKUP(A12,設定_場地表!$A$2:$B$13,2,0),"")</f>
        <v/>
      </c>
      <c r="C12" s="10"/>
      <c r="D12" s="11"/>
      <c r="E12" s="16"/>
    </row>
    <row r="13" customFormat="false" ht="15" hidden="false" customHeight="true" outlineLevel="0" collapsed="false">
      <c r="A13" s="11"/>
      <c r="B13" s="13" t="str">
        <f aca="false">IFERROR(VLOOKUP(A13,設定_場地表!$A$2:$B$13,2,0),"")</f>
        <v/>
      </c>
      <c r="C13" s="10"/>
      <c r="D13" s="11"/>
      <c r="E13" s="16"/>
    </row>
    <row r="14" customFormat="false" ht="15" hidden="false" customHeight="true" outlineLevel="0" collapsed="false">
      <c r="A14" s="11"/>
      <c r="B14" s="13" t="str">
        <f aca="false">IFERROR(VLOOKUP(A14,設定_場地表!$A$2:$B$13,2,0),"")</f>
        <v/>
      </c>
      <c r="C14" s="10"/>
      <c r="D14" s="11"/>
      <c r="E14" s="16"/>
    </row>
    <row r="15" customFormat="false" ht="15" hidden="false" customHeight="true" outlineLevel="0" collapsed="false">
      <c r="A15" s="11"/>
      <c r="B15" s="13" t="str">
        <f aca="false">IFERROR(VLOOKUP(A15,設定_場地表!$A$2:$B$13,2,0),"")</f>
        <v/>
      </c>
      <c r="C15" s="10"/>
      <c r="D15" s="11"/>
      <c r="E15" s="16"/>
    </row>
    <row r="16" customFormat="false" ht="15" hidden="false" customHeight="true" outlineLevel="0" collapsed="false">
      <c r="A16" s="11"/>
      <c r="B16" s="13" t="str">
        <f aca="false">IFERROR(VLOOKUP(A16,設定_場地表!$A$2:$B$13,2,0),"")</f>
        <v/>
      </c>
      <c r="C16" s="10"/>
      <c r="D16" s="11"/>
      <c r="E16" s="16"/>
    </row>
    <row r="17" customFormat="false" ht="15" hidden="false" customHeight="true" outlineLevel="0" collapsed="false">
      <c r="A17" s="11"/>
      <c r="B17" s="13" t="str">
        <f aca="false">IFERROR(VLOOKUP(A17,設定_場地表!$A$2:$B$13,2,0),"")</f>
        <v/>
      </c>
      <c r="C17" s="10"/>
      <c r="D17" s="11"/>
      <c r="E17" s="16"/>
    </row>
    <row r="18" customFormat="false" ht="15" hidden="false" customHeight="true" outlineLevel="0" collapsed="false">
      <c r="A18" s="11"/>
      <c r="B18" s="13" t="str">
        <f aca="false">IFERROR(VLOOKUP(A18,設定_場地表!$A$2:$B$13,2,0),"")</f>
        <v/>
      </c>
      <c r="C18" s="10"/>
      <c r="D18" s="11"/>
      <c r="E18" s="16"/>
    </row>
    <row r="19" customFormat="false" ht="15" hidden="false" customHeight="true" outlineLevel="0" collapsed="false">
      <c r="A19" s="11"/>
      <c r="B19" s="13" t="str">
        <f aca="false">IFERROR(VLOOKUP(A19,設定_場地表!$A$2:$B$13,2,0),"")</f>
        <v/>
      </c>
      <c r="C19" s="10"/>
      <c r="D19" s="11"/>
      <c r="E19" s="16"/>
    </row>
    <row r="20" customFormat="false" ht="15" hidden="false" customHeight="true" outlineLevel="0" collapsed="false">
      <c r="A20" s="11"/>
      <c r="B20" s="13" t="str">
        <f aca="false">IFERROR(VLOOKUP(A20,設定_場地表!$A$2:$B$13,2,0),"")</f>
        <v/>
      </c>
      <c r="C20" s="10"/>
      <c r="D20" s="11"/>
      <c r="E20" s="16"/>
    </row>
    <row r="21" customFormat="false" ht="15" hidden="false" customHeight="true" outlineLevel="0" collapsed="false">
      <c r="A21" s="11"/>
      <c r="B21" s="13" t="str">
        <f aca="false">IFERROR(VLOOKUP(A21,設定_場地表!$A$2:$B$13,2,0),"")</f>
        <v/>
      </c>
      <c r="C21" s="10"/>
      <c r="D21" s="11"/>
      <c r="E21" s="16"/>
    </row>
    <row r="22" customFormat="false" ht="15" hidden="false" customHeight="true" outlineLevel="0" collapsed="false">
      <c r="A22" s="11"/>
      <c r="B22" s="13" t="str">
        <f aca="false">IFERROR(VLOOKUP(A22,設定_場地表!$A$2:$B$13,2,0),"")</f>
        <v/>
      </c>
      <c r="C22" s="10"/>
      <c r="D22" s="11"/>
      <c r="E22" s="16"/>
    </row>
    <row r="24" customFormat="false" ht="15" hidden="false" customHeight="true" outlineLevel="0" collapsed="false">
      <c r="B24" s="18" t="s">
        <v>370</v>
      </c>
    </row>
  </sheetData>
  <dataValidations count="3">
    <dataValidation allowBlank="true" errorStyle="stop" operator="between" showDropDown="false" showErrorMessage="false" showInputMessage="false" sqref="A2:A41" type="list">
      <formula1>設定_場地表!$A$2:$A$13</formula1>
      <formula2>0</formula2>
    </dataValidation>
    <dataValidation allowBlank="true" errorStyle="stop" operator="between" showDropDown="false" showErrorMessage="false" showInputMessage="false" sqref="C2:C41" type="list">
      <formula1>"一,二,三,四,五"</formula1>
      <formula2>0</formula2>
    </dataValidation>
    <dataValidation allowBlank="true" errorStyle="stop" operator="between" showDropDown="false" showErrorMessage="false" showInputMessage="false" sqref="D2:D41" type="list">
      <formula1>"1,2,3,4,5,6,7"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46"/>
  </cols>
  <sheetData>
    <row r="1" customFormat="false" ht="23.25" hidden="false" customHeight="true" outlineLevel="0" collapsed="false">
      <c r="A1" s="9" t="s">
        <v>362</v>
      </c>
      <c r="B1" s="9" t="s">
        <v>144</v>
      </c>
      <c r="C1" s="15" t="s">
        <v>371</v>
      </c>
      <c r="D1" s="9" t="s">
        <v>109</v>
      </c>
      <c r="E1" s="9" t="s">
        <v>355</v>
      </c>
    </row>
    <row r="2" customFormat="false" ht="15" hidden="false" customHeight="true" outlineLevel="0" collapsed="false">
      <c r="A2" s="20" t="s">
        <v>365</v>
      </c>
      <c r="B2" s="21" t="s">
        <v>186</v>
      </c>
      <c r="C2" s="20" t="s">
        <v>113</v>
      </c>
      <c r="D2" s="13" t="str">
        <f aca="false">IFERROR(VLOOKUP(C2,設定_場地表!$A$2:$B$13,2,0),"")</f>
        <v>普通教室(原班)</v>
      </c>
      <c r="E2" s="17" t="s">
        <v>372</v>
      </c>
    </row>
    <row r="3" customFormat="false" ht="15" hidden="false" customHeight="true" outlineLevel="0" collapsed="false">
      <c r="A3" s="10"/>
      <c r="B3" s="10"/>
      <c r="C3" s="11"/>
      <c r="D3" s="13" t="str">
        <f aca="false">IFERROR(VLOOKUP(C3,設定_場地表!$A$2:$B$13,2,0),"")</f>
        <v/>
      </c>
      <c r="E3" s="16"/>
    </row>
    <row r="4" customFormat="false" ht="15" hidden="false" customHeight="true" outlineLevel="0" collapsed="false">
      <c r="A4" s="10"/>
      <c r="B4" s="10"/>
      <c r="C4" s="11"/>
      <c r="D4" s="13" t="str">
        <f aca="false">IFERROR(VLOOKUP(C4,設定_場地表!$A$2:$B$13,2,0),"")</f>
        <v/>
      </c>
      <c r="E4" s="16"/>
    </row>
    <row r="5" customFormat="false" ht="15" hidden="false" customHeight="true" outlineLevel="0" collapsed="false">
      <c r="A5" s="10"/>
      <c r="B5" s="10"/>
      <c r="C5" s="11"/>
      <c r="D5" s="13" t="str">
        <f aca="false">IFERROR(VLOOKUP(C5,設定_場地表!$A$2:$B$13,2,0),"")</f>
        <v/>
      </c>
      <c r="E5" s="16"/>
    </row>
    <row r="6" customFormat="false" ht="15" hidden="false" customHeight="true" outlineLevel="0" collapsed="false">
      <c r="A6" s="10"/>
      <c r="B6" s="10"/>
      <c r="C6" s="11"/>
      <c r="D6" s="13" t="str">
        <f aca="false">IFERROR(VLOOKUP(C6,設定_場地表!$A$2:$B$13,2,0),"")</f>
        <v/>
      </c>
      <c r="E6" s="16"/>
    </row>
    <row r="7" customFormat="false" ht="15" hidden="false" customHeight="true" outlineLevel="0" collapsed="false">
      <c r="A7" s="10"/>
      <c r="B7" s="10"/>
      <c r="C7" s="11"/>
      <c r="D7" s="13" t="str">
        <f aca="false">IFERROR(VLOOKUP(C7,設定_場地表!$A$2:$B$13,2,0),"")</f>
        <v/>
      </c>
      <c r="E7" s="16"/>
    </row>
    <row r="8" customFormat="false" ht="15" hidden="false" customHeight="true" outlineLevel="0" collapsed="false">
      <c r="D8" s="13" t="str">
        <f aca="false">IFERROR(VLOOKUP(C8,設定_場地表!$A$2:$B$13,2,0),"")</f>
        <v/>
      </c>
    </row>
    <row r="9" customFormat="false" ht="15" hidden="false" customHeight="true" outlineLevel="0" collapsed="false">
      <c r="D9" s="13" t="str">
        <f aca="false">IFERROR(VLOOKUP(C9,設定_場地表!$A$2:$B$13,2,0),"")</f>
        <v/>
      </c>
    </row>
    <row r="10" customFormat="false" ht="15" hidden="false" customHeight="true" outlineLevel="0" collapsed="false">
      <c r="D10" s="13" t="str">
        <f aca="false">IFERROR(VLOOKUP(C10,設定_場地表!$A$2:$B$13,2,0),"")</f>
        <v/>
      </c>
    </row>
    <row r="11" customFormat="false" ht="15" hidden="false" customHeight="true" outlineLevel="0" collapsed="false">
      <c r="D11" s="13" t="str">
        <f aca="false">IFERROR(VLOOKUP(C11,設定_場地表!$A$2:$B$13,2,0),"")</f>
        <v/>
      </c>
    </row>
    <row r="12" customFormat="false" ht="15" hidden="false" customHeight="true" outlineLevel="0" collapsed="false">
      <c r="D12" s="13" t="str">
        <f aca="false">IFERROR(VLOOKUP(C12,設定_場地表!$A$2:$B$13,2,0),"")</f>
        <v/>
      </c>
    </row>
    <row r="13" customFormat="false" ht="15" hidden="false" customHeight="true" outlineLevel="0" collapsed="false">
      <c r="D13" s="13" t="str">
        <f aca="false">IFERROR(VLOOKUP(C13,設定_場地表!$A$2:$B$13,2,0),"")</f>
        <v/>
      </c>
    </row>
    <row r="14" customFormat="false" ht="15" hidden="false" customHeight="true" outlineLevel="0" collapsed="false">
      <c r="D14" s="13" t="str">
        <f aca="false">IFERROR(VLOOKUP(C14,設定_場地表!$A$2:$B$13,2,0),"")</f>
        <v/>
      </c>
    </row>
    <row r="15" customFormat="false" ht="15" hidden="false" customHeight="true" outlineLevel="0" collapsed="false">
      <c r="D15" s="13" t="str">
        <f aca="false">IFERROR(VLOOKUP(C15,設定_場地表!$A$2:$B$13,2,0),"")</f>
        <v/>
      </c>
    </row>
    <row r="16" customFormat="false" ht="15" hidden="false" customHeight="true" outlineLevel="0" collapsed="false">
      <c r="D16" s="13" t="str">
        <f aca="false">IFERROR(VLOOKUP(C16,設定_場地表!$A$2:$B$13,2,0),"")</f>
        <v/>
      </c>
    </row>
    <row r="17" customFormat="false" ht="15" hidden="false" customHeight="true" outlineLevel="0" collapsed="false">
      <c r="D17" s="13" t="str">
        <f aca="false">IFERROR(VLOOKUP(C17,設定_場地表!$A$2:$B$13,2,0),"")</f>
        <v/>
      </c>
    </row>
    <row r="18" customFormat="false" ht="15" hidden="false" customHeight="true" outlineLevel="0" collapsed="false">
      <c r="D18" s="13" t="str">
        <f aca="false">IFERROR(VLOOKUP(C18,設定_場地表!$A$2:$B$13,2,0),"")</f>
        <v/>
      </c>
    </row>
    <row r="19" customFormat="false" ht="15" hidden="false" customHeight="true" outlineLevel="0" collapsed="false">
      <c r="D19" s="13" t="str">
        <f aca="false">IFERROR(VLOOKUP(C19,設定_場地表!$A$2:$B$13,2,0),"")</f>
        <v/>
      </c>
    </row>
    <row r="20" customFormat="false" ht="15" hidden="false" customHeight="true" outlineLevel="0" collapsed="false">
      <c r="D20" s="13" t="str">
        <f aca="false">IFERROR(VLOOKUP(C20,設定_場地表!$A$2:$B$13,2,0),"")</f>
        <v/>
      </c>
    </row>
    <row r="21" customFormat="false" ht="15" hidden="false" customHeight="true" outlineLevel="0" collapsed="false">
      <c r="D21" s="13" t="str">
        <f aca="false">IFERROR(VLOOKUP(C21,設定_場地表!$A$2:$B$13,2,0),"")</f>
        <v/>
      </c>
    </row>
  </sheetData>
  <dataValidations count="2">
    <dataValidation allowBlank="true" errorStyle="stop" operator="between" showDropDown="false" showErrorMessage="false" showInputMessage="false" sqref="C2:C21" type="list">
      <formula1>設定_場地表!$A$2:$A$13</formula1>
      <formula2>0</formula2>
    </dataValidation>
    <dataValidation allowBlank="true" errorStyle="stop" operator="between" showDropDown="false" showErrorMessage="false" showInputMessage="false" sqref="B2:B21" type="list">
      <formula1>"國語文,本土語文,英語文,數學,生活課程,社會,自然科學,音樂,視覺藝術,綜合活動,健康,體育,校訂A,校訂B,校訂C,校訂D,校訂E,校訂F"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6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8"/>
    <col collapsed="false" customWidth="true" hidden="false" outlineLevel="0" max="8" min="8" style="1" width="40"/>
  </cols>
  <sheetData>
    <row r="1" customFormat="false" ht="15" hidden="false" customHeight="true" outlineLevel="0" collapsed="false">
      <c r="A1" s="9" t="s">
        <v>362</v>
      </c>
      <c r="B1" s="9" t="s">
        <v>353</v>
      </c>
      <c r="C1" s="9" t="s">
        <v>235</v>
      </c>
      <c r="D1" s="9" t="s">
        <v>144</v>
      </c>
      <c r="E1" s="9" t="s">
        <v>275</v>
      </c>
      <c r="F1" s="9" t="s">
        <v>373</v>
      </c>
      <c r="G1" s="9" t="s">
        <v>354</v>
      </c>
      <c r="H1" s="9" t="s">
        <v>355</v>
      </c>
      <c r="I1" s="18" t="s">
        <v>374</v>
      </c>
    </row>
    <row r="2" customFormat="false" ht="26.25" hidden="false" customHeight="true" outlineLevel="0" collapsed="false">
      <c r="A2" s="20" t="s">
        <v>365</v>
      </c>
      <c r="B2" s="21" t="s">
        <v>149</v>
      </c>
      <c r="C2" s="20" t="n">
        <v>1</v>
      </c>
      <c r="D2" s="21" t="s">
        <v>166</v>
      </c>
      <c r="E2" s="11"/>
      <c r="F2" s="13" t="str">
        <f aca="false">IFERROR(VLOOKUP(D2,設定_科目表!$B$2:$M$19,12,0),"")</f>
        <v>R00</v>
      </c>
      <c r="G2" s="21" t="s">
        <v>375</v>
      </c>
      <c r="H2" s="17" t="s">
        <v>376</v>
      </c>
    </row>
    <row r="3" customFormat="false" ht="26.25" hidden="false" customHeight="true" outlineLevel="0" collapsed="false">
      <c r="A3" s="10"/>
      <c r="B3" s="10"/>
      <c r="C3" s="11"/>
      <c r="D3" s="10"/>
      <c r="E3" s="11"/>
      <c r="F3" s="13" t="str">
        <f aca="false">IFERROR(VLOOKUP(D3,設定_科目表!$B$2:$M$19,12,0),"")</f>
        <v/>
      </c>
      <c r="G3" s="10"/>
      <c r="H3" s="16"/>
    </row>
    <row r="4" customFormat="false" ht="26.25" hidden="false" customHeight="true" outlineLevel="0" collapsed="false">
      <c r="A4" s="10"/>
      <c r="B4" s="10"/>
      <c r="C4" s="11"/>
      <c r="D4" s="10"/>
      <c r="E4" s="11"/>
      <c r="F4" s="13" t="str">
        <f aca="false">IFERROR(VLOOKUP(D4,設定_科目表!$B$2:$M$19,12,0),"")</f>
        <v/>
      </c>
      <c r="G4" s="10"/>
      <c r="H4" s="16"/>
    </row>
    <row r="5" customFormat="false" ht="26.25" hidden="false" customHeight="true" outlineLevel="0" collapsed="false">
      <c r="A5" s="10"/>
      <c r="B5" s="10"/>
      <c r="C5" s="11"/>
      <c r="D5" s="10"/>
      <c r="E5" s="11"/>
      <c r="F5" s="13" t="str">
        <f aca="false">IFERROR(VLOOKUP(D5,設定_科目表!$B$2:$M$19,12,0),"")</f>
        <v/>
      </c>
      <c r="G5" s="10"/>
      <c r="H5" s="16"/>
    </row>
    <row r="6" customFormat="false" ht="26.25" hidden="false" customHeight="true" outlineLevel="0" collapsed="false">
      <c r="A6" s="10"/>
      <c r="B6" s="10"/>
      <c r="C6" s="11"/>
      <c r="D6" s="10"/>
      <c r="E6" s="11"/>
      <c r="F6" s="13" t="str">
        <f aca="false">IFERROR(VLOOKUP(D6,設定_科目表!$B$2:$M$19,12,0),"")</f>
        <v/>
      </c>
      <c r="G6" s="10"/>
      <c r="H6" s="16"/>
    </row>
    <row r="7" customFormat="false" ht="26.25" hidden="false" customHeight="true" outlineLevel="0" collapsed="false">
      <c r="A7" s="10"/>
      <c r="B7" s="10"/>
      <c r="C7" s="11"/>
      <c r="D7" s="10"/>
      <c r="E7" s="11"/>
      <c r="F7" s="13" t="str">
        <f aca="false">IFERROR(VLOOKUP(D7,設定_科目表!$B$2:$M$19,12,0),"")</f>
        <v/>
      </c>
      <c r="G7" s="10"/>
      <c r="H7" s="16"/>
    </row>
    <row r="8" customFormat="false" ht="26.25" hidden="false" customHeight="true" outlineLevel="0" collapsed="false">
      <c r="A8" s="10"/>
      <c r="B8" s="10"/>
      <c r="C8" s="11"/>
      <c r="D8" s="10"/>
      <c r="E8" s="11"/>
      <c r="F8" s="13" t="str">
        <f aca="false">IFERROR(VLOOKUP(D8,設定_科目表!$B$2:$M$19,12,0),"")</f>
        <v/>
      </c>
      <c r="G8" s="10"/>
      <c r="H8" s="16"/>
    </row>
    <row r="9" customFormat="false" ht="26.25" hidden="false" customHeight="true" outlineLevel="0" collapsed="false">
      <c r="A9" s="10"/>
      <c r="B9" s="10"/>
      <c r="C9" s="11"/>
      <c r="D9" s="10"/>
      <c r="E9" s="11"/>
      <c r="F9" s="13" t="str">
        <f aca="false">IFERROR(VLOOKUP(D9,設定_科目表!$B$2:$M$19,12,0),"")</f>
        <v/>
      </c>
      <c r="G9" s="10"/>
      <c r="H9" s="16"/>
    </row>
    <row r="10" customFormat="false" ht="26.25" hidden="false" customHeight="true" outlineLevel="0" collapsed="false">
      <c r="A10" s="10"/>
      <c r="B10" s="10"/>
      <c r="C10" s="11"/>
      <c r="D10" s="10"/>
      <c r="E10" s="11"/>
      <c r="F10" s="13" t="str">
        <f aca="false">IFERROR(VLOOKUP(D10,設定_科目表!$B$2:$M$19,12,0),"")</f>
        <v/>
      </c>
      <c r="G10" s="10"/>
      <c r="H10" s="16"/>
    </row>
    <row r="11" customFormat="false" ht="26.25" hidden="false" customHeight="true" outlineLevel="0" collapsed="false">
      <c r="A11" s="10"/>
      <c r="B11" s="10"/>
      <c r="C11" s="11"/>
      <c r="D11" s="10"/>
      <c r="E11" s="11"/>
      <c r="F11" s="13" t="str">
        <f aca="false">IFERROR(VLOOKUP(D11,設定_科目表!$B$2:$M$19,12,0),"")</f>
        <v/>
      </c>
      <c r="G11" s="10"/>
      <c r="H11" s="16"/>
    </row>
    <row r="12" customFormat="false" ht="26.25" hidden="false" customHeight="true" outlineLevel="0" collapsed="false">
      <c r="A12" s="10"/>
      <c r="B12" s="10"/>
      <c r="C12" s="11"/>
      <c r="D12" s="10"/>
      <c r="E12" s="11"/>
      <c r="F12" s="13" t="str">
        <f aca="false">IFERROR(VLOOKUP(D12,設定_科目表!$B$2:$M$19,12,0),"")</f>
        <v/>
      </c>
      <c r="G12" s="10"/>
      <c r="H12" s="16"/>
    </row>
    <row r="13" customFormat="false" ht="26.25" hidden="false" customHeight="true" outlineLevel="0" collapsed="false">
      <c r="A13" s="10"/>
      <c r="B13" s="10"/>
      <c r="C13" s="11"/>
      <c r="D13" s="10"/>
      <c r="E13" s="11"/>
      <c r="F13" s="13" t="str">
        <f aca="false">IFERROR(VLOOKUP(D13,設定_科目表!$B$2:$M$19,12,0),"")</f>
        <v/>
      </c>
      <c r="G13" s="10"/>
      <c r="H13" s="16"/>
    </row>
    <row r="14" customFormat="false" ht="26.25" hidden="false" customHeight="true" outlineLevel="0" collapsed="false">
      <c r="A14" s="10"/>
      <c r="B14" s="10"/>
      <c r="C14" s="11"/>
      <c r="D14" s="10"/>
      <c r="E14" s="11"/>
      <c r="F14" s="13" t="str">
        <f aca="false">IFERROR(VLOOKUP(D14,設定_科目表!$B$2:$M$19,12,0),"")</f>
        <v/>
      </c>
      <c r="G14" s="10"/>
      <c r="H14" s="16"/>
    </row>
    <row r="15" customFormat="false" ht="26.25" hidden="false" customHeight="true" outlineLevel="0" collapsed="false">
      <c r="A15" s="10"/>
      <c r="B15" s="10"/>
      <c r="C15" s="11"/>
      <c r="D15" s="10"/>
      <c r="E15" s="11"/>
      <c r="F15" s="13" t="str">
        <f aca="false">IFERROR(VLOOKUP(D15,設定_科目表!$B$2:$M$19,12,0),"")</f>
        <v/>
      </c>
      <c r="G15" s="10"/>
      <c r="H15" s="16"/>
    </row>
    <row r="16" customFormat="false" ht="26.25" hidden="false" customHeight="true" outlineLevel="0" collapsed="false">
      <c r="A16" s="10"/>
      <c r="B16" s="10"/>
      <c r="C16" s="11"/>
      <c r="D16" s="10"/>
      <c r="E16" s="11"/>
      <c r="F16" s="13" t="str">
        <f aca="false">IFERROR(VLOOKUP(D16,設定_科目表!$B$2:$M$19,12,0),"")</f>
        <v/>
      </c>
      <c r="G16" s="10"/>
      <c r="H16" s="16"/>
    </row>
    <row r="17" customFormat="false" ht="26.25" hidden="false" customHeight="true" outlineLevel="0" collapsed="false">
      <c r="A17" s="10"/>
      <c r="B17" s="10"/>
      <c r="C17" s="11"/>
      <c r="D17" s="10"/>
      <c r="E17" s="11"/>
      <c r="F17" s="13" t="str">
        <f aca="false">IFERROR(VLOOKUP(D17,設定_科目表!$B$2:$M$19,12,0),"")</f>
        <v/>
      </c>
      <c r="G17" s="10"/>
      <c r="H17" s="16"/>
    </row>
    <row r="18" customFormat="false" ht="15" hidden="false" customHeight="true" outlineLevel="0" collapsed="false">
      <c r="F18" s="13" t="str">
        <f aca="false">IFERROR(VLOOKUP(D18,設定_科目表!$B$2:$M$19,12,0),"")</f>
        <v/>
      </c>
    </row>
    <row r="19" customFormat="false" ht="15" hidden="false" customHeight="true" outlineLevel="0" collapsed="false">
      <c r="F19" s="13" t="str">
        <f aca="false">IFERROR(VLOOKUP(D19,設定_科目表!$B$2:$M$19,12,0),"")</f>
        <v/>
      </c>
    </row>
    <row r="20" customFormat="false" ht="15" hidden="false" customHeight="true" outlineLevel="0" collapsed="false">
      <c r="F20" s="13" t="str">
        <f aca="false">IFERROR(VLOOKUP(D20,設定_科目表!$B$2:$M$19,12,0),"")</f>
        <v/>
      </c>
    </row>
    <row r="21" customFormat="false" ht="15" hidden="false" customHeight="true" outlineLevel="0" collapsed="false">
      <c r="F21" s="13" t="str">
        <f aca="false">IFERROR(VLOOKUP(D21,設定_科目表!$B$2:$M$19,12,0),"")</f>
        <v/>
      </c>
    </row>
    <row r="22" customFormat="false" ht="15" hidden="false" customHeight="true" outlineLevel="0" collapsed="false">
      <c r="F22" s="13" t="str">
        <f aca="false">IFERROR(VLOOKUP(D22,設定_科目表!$B$2:$M$19,12,0),"")</f>
        <v/>
      </c>
    </row>
    <row r="23" customFormat="false" ht="15" hidden="false" customHeight="true" outlineLevel="0" collapsed="false">
      <c r="F23" s="13" t="str">
        <f aca="false">IFERROR(VLOOKUP(D23,設定_科目表!$B$2:$M$19,12,0),"")</f>
        <v/>
      </c>
    </row>
    <row r="24" customFormat="false" ht="15" hidden="false" customHeight="true" outlineLevel="0" collapsed="false">
      <c r="F24" s="13" t="str">
        <f aca="false">IFERROR(VLOOKUP(D24,設定_科目表!$B$2:$M$19,12,0),"")</f>
        <v/>
      </c>
    </row>
    <row r="25" customFormat="false" ht="15" hidden="false" customHeight="true" outlineLevel="0" collapsed="false">
      <c r="F25" s="13" t="str">
        <f aca="false">IFERROR(VLOOKUP(D25,設定_科目表!$B$2:$M$19,12,0),"")</f>
        <v/>
      </c>
    </row>
    <row r="26" customFormat="false" ht="15" hidden="false" customHeight="true" outlineLevel="0" collapsed="false">
      <c r="F26" s="13" t="str">
        <f aca="false">IFERROR(VLOOKUP(D26,設定_科目表!$B$2:$M$19,12,0),"")</f>
        <v/>
      </c>
    </row>
    <row r="27" customFormat="false" ht="15" hidden="false" customHeight="true" outlineLevel="0" collapsed="false">
      <c r="F27" s="13" t="str">
        <f aca="false">IFERROR(VLOOKUP(D27,設定_科目表!$B$2:$M$19,12,0),"")</f>
        <v/>
      </c>
    </row>
    <row r="28" customFormat="false" ht="15" hidden="false" customHeight="true" outlineLevel="0" collapsed="false">
      <c r="F28" s="13" t="str">
        <f aca="false">IFERROR(VLOOKUP(D28,設定_科目表!$B$2:$M$19,12,0),"")</f>
        <v/>
      </c>
    </row>
    <row r="29" customFormat="false" ht="15" hidden="false" customHeight="true" outlineLevel="0" collapsed="false">
      <c r="F29" s="13" t="str">
        <f aca="false">IFERROR(VLOOKUP(D29,設定_科目表!$B$2:$M$19,12,0),"")</f>
        <v/>
      </c>
    </row>
    <row r="30" customFormat="false" ht="15" hidden="false" customHeight="true" outlineLevel="0" collapsed="false">
      <c r="F30" s="13" t="str">
        <f aca="false">IFERROR(VLOOKUP(D30,設定_科目表!$B$2:$M$19,12,0),"")</f>
        <v/>
      </c>
    </row>
    <row r="31" customFormat="false" ht="15" hidden="false" customHeight="true" outlineLevel="0" collapsed="false">
      <c r="F31" s="13" t="str">
        <f aca="false">IFERROR(VLOOKUP(D31,設定_科目表!$B$2:$M$19,12,0),"")</f>
        <v/>
      </c>
    </row>
    <row r="32" customFormat="false" ht="15" hidden="false" customHeight="true" outlineLevel="0" collapsed="false">
      <c r="F32" s="13" t="str">
        <f aca="false">IFERROR(VLOOKUP(D32,設定_科目表!$B$2:$M$19,12,0),"")</f>
        <v/>
      </c>
    </row>
    <row r="33" customFormat="false" ht="15" hidden="false" customHeight="true" outlineLevel="0" collapsed="false">
      <c r="F33" s="13" t="str">
        <f aca="false">IFERROR(VLOOKUP(D33,設定_科目表!$B$2:$M$19,12,0),"")</f>
        <v/>
      </c>
    </row>
    <row r="34" customFormat="false" ht="15" hidden="false" customHeight="true" outlineLevel="0" collapsed="false">
      <c r="F34" s="13" t="str">
        <f aca="false">IFERROR(VLOOKUP(D34,設定_科目表!$B$2:$M$19,12,0),"")</f>
        <v/>
      </c>
    </row>
    <row r="35" customFormat="false" ht="15" hidden="false" customHeight="true" outlineLevel="0" collapsed="false">
      <c r="F35" s="13" t="str">
        <f aca="false">IFERROR(VLOOKUP(D35,設定_科目表!$B$2:$M$19,12,0),"")</f>
        <v/>
      </c>
    </row>
    <row r="36" customFormat="false" ht="15" hidden="false" customHeight="true" outlineLevel="0" collapsed="false">
      <c r="F36" s="13" t="str">
        <f aca="false">IFERROR(VLOOKUP(D36,設定_科目表!$B$2:$M$19,12,0),"")</f>
        <v/>
      </c>
    </row>
    <row r="37" customFormat="false" ht="15" hidden="false" customHeight="true" outlineLevel="0" collapsed="false">
      <c r="F37" s="13" t="str">
        <f aca="false">IFERROR(VLOOKUP(D37,設定_科目表!$B$2:$M$19,12,0),"")</f>
        <v/>
      </c>
    </row>
    <row r="38" customFormat="false" ht="15" hidden="false" customHeight="true" outlineLevel="0" collapsed="false">
      <c r="F38" s="13" t="str">
        <f aca="false">IFERROR(VLOOKUP(D38,設定_科目表!$B$2:$M$19,12,0),"")</f>
        <v/>
      </c>
    </row>
    <row r="39" customFormat="false" ht="15" hidden="false" customHeight="true" outlineLevel="0" collapsed="false">
      <c r="F39" s="13" t="str">
        <f aca="false">IFERROR(VLOOKUP(D39,設定_科目表!$B$2:$M$19,12,0),"")</f>
        <v/>
      </c>
    </row>
    <row r="40" customFormat="false" ht="15" hidden="false" customHeight="true" outlineLevel="0" collapsed="false">
      <c r="F40" s="13" t="str">
        <f aca="false">IFERROR(VLOOKUP(D40,設定_科目表!$B$2:$M$19,12,0),"")</f>
        <v/>
      </c>
    </row>
    <row r="41" customFormat="false" ht="15" hidden="false" customHeight="true" outlineLevel="0" collapsed="false">
      <c r="F41" s="13" t="str">
        <f aca="false">IFERROR(VLOOKUP(D41,設定_科目表!$B$2:$M$19,12,0),"")</f>
        <v/>
      </c>
    </row>
    <row r="42" customFormat="false" ht="15" hidden="false" customHeight="true" outlineLevel="0" collapsed="false">
      <c r="F42" s="13" t="str">
        <f aca="false">IFERROR(VLOOKUP(D42,設定_科目表!$B$2:$M$19,12,0),"")</f>
        <v/>
      </c>
    </row>
    <row r="43" customFormat="false" ht="15" hidden="false" customHeight="true" outlineLevel="0" collapsed="false">
      <c r="F43" s="13" t="str">
        <f aca="false">IFERROR(VLOOKUP(D43,設定_科目表!$B$2:$M$19,12,0),"")</f>
        <v/>
      </c>
    </row>
    <row r="44" customFormat="false" ht="15" hidden="false" customHeight="true" outlineLevel="0" collapsed="false">
      <c r="F44" s="13" t="str">
        <f aca="false">IFERROR(VLOOKUP(D44,設定_科目表!$B$2:$M$19,12,0),"")</f>
        <v/>
      </c>
    </row>
    <row r="45" customFormat="false" ht="15" hidden="false" customHeight="true" outlineLevel="0" collapsed="false">
      <c r="F45" s="13" t="str">
        <f aca="false">IFERROR(VLOOKUP(D45,設定_科目表!$B$2:$M$19,12,0),"")</f>
        <v/>
      </c>
    </row>
    <row r="46" customFormat="false" ht="15" hidden="false" customHeight="true" outlineLevel="0" collapsed="false">
      <c r="F46" s="13" t="str">
        <f aca="false">IFERROR(VLOOKUP(D46,設定_科目表!$B$2:$M$19,12,0),"")</f>
        <v/>
      </c>
    </row>
    <row r="47" customFormat="false" ht="15" hidden="false" customHeight="true" outlineLevel="0" collapsed="false">
      <c r="F47" s="13" t="str">
        <f aca="false">IFERROR(VLOOKUP(D47,設定_科目表!$B$2:$M$19,12,0),"")</f>
        <v/>
      </c>
    </row>
    <row r="48" customFormat="false" ht="15" hidden="false" customHeight="true" outlineLevel="0" collapsed="false">
      <c r="F48" s="13" t="str">
        <f aca="false">IFERROR(VLOOKUP(D48,設定_科目表!$B$2:$M$19,12,0),"")</f>
        <v/>
      </c>
    </row>
    <row r="49" customFormat="false" ht="15" hidden="false" customHeight="true" outlineLevel="0" collapsed="false">
      <c r="F49" s="13" t="str">
        <f aca="false">IFERROR(VLOOKUP(D49,設定_科目表!$B$2:$M$19,12,0),"")</f>
        <v/>
      </c>
    </row>
    <row r="50" customFormat="false" ht="15" hidden="false" customHeight="true" outlineLevel="0" collapsed="false">
      <c r="F50" s="13" t="str">
        <f aca="false">IFERROR(VLOOKUP(D50,設定_科目表!$B$2:$M$19,12,0),"")</f>
        <v/>
      </c>
    </row>
    <row r="51" customFormat="false" ht="15" hidden="false" customHeight="true" outlineLevel="0" collapsed="false">
      <c r="F51" s="13" t="str">
        <f aca="false">IFERROR(VLOOKUP(D51,設定_科目表!$B$2:$M$19,12,0),"")</f>
        <v/>
      </c>
    </row>
    <row r="52" customFormat="false" ht="15" hidden="false" customHeight="true" outlineLevel="0" collapsed="false">
      <c r="F52" s="13" t="str">
        <f aca="false">IFERROR(VLOOKUP(D52,設定_科目表!$B$2:$M$19,12,0),"")</f>
        <v/>
      </c>
    </row>
    <row r="53" customFormat="false" ht="15" hidden="false" customHeight="true" outlineLevel="0" collapsed="false">
      <c r="F53" s="13" t="str">
        <f aca="false">IFERROR(VLOOKUP(D53,設定_科目表!$B$2:$M$19,12,0),"")</f>
        <v/>
      </c>
    </row>
    <row r="54" customFormat="false" ht="15" hidden="false" customHeight="true" outlineLevel="0" collapsed="false">
      <c r="F54" s="13" t="str">
        <f aca="false">IFERROR(VLOOKUP(D54,設定_科目表!$B$2:$M$19,12,0),"")</f>
        <v/>
      </c>
    </row>
    <row r="55" customFormat="false" ht="15" hidden="false" customHeight="true" outlineLevel="0" collapsed="false">
      <c r="F55" s="13" t="str">
        <f aca="false">IFERROR(VLOOKUP(D55,設定_科目表!$B$2:$M$19,12,0),"")</f>
        <v/>
      </c>
    </row>
    <row r="56" customFormat="false" ht="15" hidden="false" customHeight="true" outlineLevel="0" collapsed="false">
      <c r="F56" s="13" t="str">
        <f aca="false">IFERROR(VLOOKUP(D56,設定_科目表!$B$2:$M$19,12,0),"")</f>
        <v/>
      </c>
    </row>
    <row r="57" customFormat="false" ht="15" hidden="false" customHeight="true" outlineLevel="0" collapsed="false">
      <c r="F57" s="13" t="str">
        <f aca="false">IFERROR(VLOOKUP(D57,設定_科目表!$B$2:$M$19,12,0),"")</f>
        <v/>
      </c>
    </row>
    <row r="58" customFormat="false" ht="15" hidden="false" customHeight="true" outlineLevel="0" collapsed="false">
      <c r="F58" s="13" t="str">
        <f aca="false">IFERROR(VLOOKUP(D58,設定_科目表!$B$2:$M$19,12,0),"")</f>
        <v/>
      </c>
    </row>
    <row r="59" customFormat="false" ht="15" hidden="false" customHeight="true" outlineLevel="0" collapsed="false">
      <c r="F59" s="13" t="str">
        <f aca="false">IFERROR(VLOOKUP(D59,設定_科目表!$B$2:$M$19,12,0),"")</f>
        <v/>
      </c>
    </row>
    <row r="60" customFormat="false" ht="15" hidden="false" customHeight="true" outlineLevel="0" collapsed="false">
      <c r="F60" s="13" t="str">
        <f aca="false">IFERROR(VLOOKUP(D60,設定_科目表!$B$2:$M$19,12,0),"")</f>
        <v/>
      </c>
    </row>
    <row r="61" customFormat="false" ht="15" hidden="false" customHeight="true" outlineLevel="0" collapsed="false">
      <c r="F61" s="13" t="str">
        <f aca="false">IFERROR(VLOOKUP(D61,設定_科目表!$B$2:$M$19,12,0),"")</f>
        <v/>
      </c>
    </row>
  </sheetData>
  <dataValidations count="5">
    <dataValidation allowBlank="true" errorStyle="stop" operator="between" showDropDown="false" showErrorMessage="false" showInputMessage="false" sqref="B2:B61" type="list">
      <formula1>"一,二,三,四,五"</formula1>
      <formula2>0</formula2>
    </dataValidation>
    <dataValidation allowBlank="true" errorStyle="stop" operator="between" showDropDown="false" showErrorMessage="false" showInputMessage="false" sqref="C2:C61" type="list">
      <formula1>"1,2,3,4,5,6,7"</formula1>
      <formula2>0</formula2>
    </dataValidation>
    <dataValidation allowBlank="true" errorStyle="stop" operator="between" showDropDown="false" showErrorMessage="false" showInputMessage="false" sqref="E2:E61" type="list">
      <formula1>教師名冊!$A$2:$A$61</formula1>
      <formula2>0</formula2>
    </dataValidation>
    <dataValidation allowBlank="true" errorStyle="stop" operator="between" showDropDown="false" showErrorMessage="false" showInputMessage="false" sqref="G2:G61" type="list">
      <formula1>"鎖定,偏好"</formula1>
      <formula2>0</formula2>
    </dataValidation>
    <dataValidation allowBlank="true" errorStyle="stop" operator="between" showDropDown="false" showErrorMessage="false" showInputMessage="false" sqref="D2:D61" type="list">
      <formula1>"國語文,本土語文,英語文,數學,生活課程,社會,自然科學,音樂,視覺藝術,綜合活動,健康,體育,校訂A,校訂B,校訂C,校訂D,校訂E,校訂F"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8"/>
    <col collapsed="false" customWidth="true" hidden="false" outlineLevel="0" max="6" min="6" style="1" width="14"/>
  </cols>
  <sheetData>
    <row r="1" customFormat="false" ht="15" hidden="false" customHeight="true" outlineLevel="0" collapsed="false">
      <c r="A1" s="9" t="s">
        <v>339</v>
      </c>
      <c r="B1" s="9" t="s">
        <v>326</v>
      </c>
      <c r="C1" s="9" t="s">
        <v>342</v>
      </c>
      <c r="D1" s="9" t="s">
        <v>377</v>
      </c>
      <c r="E1" s="9" t="s">
        <v>378</v>
      </c>
      <c r="F1" s="9" t="s">
        <v>379</v>
      </c>
    </row>
    <row r="2" customFormat="false" ht="15" hidden="false" customHeight="true" outlineLevel="0" collapsed="false">
      <c r="A2" s="13" t="str">
        <f aca="false">IF(教師名冊!A2="","",教師名冊!A2)</f>
        <v>王導師</v>
      </c>
      <c r="B2" s="13" t="str">
        <f aca="false">IF(教師名冊!A2="","",教師名冊!B2)</f>
        <v>導師</v>
      </c>
      <c r="C2" s="13" t="n">
        <f aca="false">IF(教師名冊!A2="","",教師名冊!E2)</f>
        <v>16</v>
      </c>
      <c r="D2" s="13" t="n">
        <f aca="false">IF($A2="","",SUMPRODUCT((配課表!$D$2:$U$41=$A2)*節數矩陣!$D$2:$U$41))</f>
        <v>17</v>
      </c>
      <c r="E2" s="13" t="n">
        <f aca="false">IF($A2="","",IF($C2="","",$C2-$D2))</f>
        <v>-1</v>
      </c>
      <c r="F2" s="13" t="str">
        <f aca="false">IF($A2="","",IF($C2="","角色未填",IF($E2=0,"✓",IF($E2&gt;0,"⚠尚缺"&amp;$E2&amp;"節","⚠超授"&amp;ABS($E2)&amp;"節"))))</f>
        <v>⚠超授1節</v>
      </c>
    </row>
    <row r="3" customFormat="false" ht="15" hidden="false" customHeight="true" outlineLevel="0" collapsed="false">
      <c r="A3" s="13" t="str">
        <f aca="false">IF(教師名冊!A3="","",教師名冊!A3)</f>
        <v>李科任</v>
      </c>
      <c r="B3" s="13" t="str">
        <f aca="false">IF(教師名冊!A3="","",教師名冊!B3)</f>
        <v>科任</v>
      </c>
      <c r="C3" s="13" t="n">
        <f aca="false">IF(教師名冊!A3="","",教師名冊!E3)</f>
        <v>20</v>
      </c>
      <c r="D3" s="13" t="n">
        <f aca="false">IF($A3="","",SUMPRODUCT((配課表!$D$2:$U$41=$A3)*節數矩陣!$D$2:$U$41))</f>
        <v>0</v>
      </c>
      <c r="E3" s="13" t="n">
        <f aca="false">IF($A3="","",IF($C3="","",$C3-$D3))</f>
        <v>20</v>
      </c>
      <c r="F3" s="13" t="str">
        <f aca="false">IF($A3="","",IF($C3="","角色未填",IF($E3=0,"✓",IF($E3&gt;0,"⚠尚缺"&amp;$E3&amp;"節","⚠超授"&amp;ABS($E3)&amp;"節"))))</f>
        <v>⚠尚缺20節</v>
      </c>
    </row>
    <row r="4" customFormat="false" ht="15" hidden="false" customHeight="true" outlineLevel="0" collapsed="false">
      <c r="A4" s="13" t="str">
        <f aca="false">IF(教師名冊!A4="","",教師名冊!A4)</f>
        <v>張主任</v>
      </c>
      <c r="B4" s="13" t="str">
        <f aca="false">IF(教師名冊!A4="","",教師名冊!B4)</f>
        <v>主任</v>
      </c>
      <c r="C4" s="13" t="n">
        <f aca="false">IF(教師名冊!A4="","",教師名冊!E4)</f>
        <v>3</v>
      </c>
      <c r="D4" s="13" t="n">
        <f aca="false">IF($A4="","",SUMPRODUCT((配課表!$D$2:$U$41=$A4)*節數矩陣!$D$2:$U$41))</f>
        <v>0</v>
      </c>
      <c r="E4" s="13" t="n">
        <f aca="false">IF($A4="","",IF($C4="","",$C4-$D4))</f>
        <v>3</v>
      </c>
      <c r="F4" s="13" t="str">
        <f aca="false">IF($A4="","",IF($C4="","角色未填",IF($E4=0,"✓",IF($E4&gt;0,"⚠尚缺"&amp;$E4&amp;"節","⚠超授"&amp;ABS($E4)&amp;"節"))))</f>
        <v>⚠尚缺3節</v>
      </c>
    </row>
    <row r="5" customFormat="false" ht="15" hidden="false" customHeight="true" outlineLevel="0" collapsed="false">
      <c r="A5" s="13" t="str">
        <f aca="false">IF(教師名冊!A5="","",教師名冊!A5)</f>
        <v>陳組長</v>
      </c>
      <c r="B5" s="13" t="str">
        <f aca="false">IF(教師名冊!A5="","",教師名冊!B5)</f>
        <v>組長</v>
      </c>
      <c r="C5" s="13" t="n">
        <f aca="false">IF(教師名冊!A5="","",教師名冊!E5)</f>
        <v>9</v>
      </c>
      <c r="D5" s="13" t="n">
        <f aca="false">IF($A5="","",SUMPRODUCT((配課表!$D$2:$U$41=$A5)*節數矩陣!$D$2:$U$41))</f>
        <v>0</v>
      </c>
      <c r="E5" s="13" t="n">
        <f aca="false">IF($A5="","",IF($C5="","",$C5-$D5))</f>
        <v>9</v>
      </c>
      <c r="F5" s="13" t="str">
        <f aca="false">IF($A5="","",IF($C5="","角色未填",IF($E5=0,"✓",IF($E5&gt;0,"⚠尚缺"&amp;$E5&amp;"節","⚠超授"&amp;ABS($E5)&amp;"節"))))</f>
        <v>⚠尚缺9節</v>
      </c>
    </row>
    <row r="6" customFormat="false" ht="15" hidden="false" customHeight="true" outlineLevel="0" collapsed="false">
      <c r="A6" s="13" t="str">
        <f aca="false">IF(教師名冊!A6="","",教師名冊!A6)</f>
        <v>資源教師甲</v>
      </c>
      <c r="B6" s="13" t="str">
        <f aca="false">IF(教師名冊!A6="","",教師名冊!B6)</f>
        <v>其他</v>
      </c>
      <c r="C6" s="13" t="n">
        <f aca="false">IF(教師名冊!A6="","",教師名冊!E6)</f>
        <v>0</v>
      </c>
      <c r="D6" s="13" t="n">
        <f aca="false">IF($A6="","",SUMPRODUCT((配課表!$D$2:$U$41=$A6)*節數矩陣!$D$2:$U$41))</f>
        <v>0</v>
      </c>
      <c r="E6" s="13" t="n">
        <f aca="false">IF($A6="","",IF($C6="","",$C6-$D6))</f>
        <v>0</v>
      </c>
      <c r="F6" s="13" t="str">
        <f aca="false">IF($A6="","",IF($C6="","角色未填",IF($E6=0,"✓",IF($E6&gt;0,"⚠尚缺"&amp;$E6&amp;"節","⚠超授"&amp;ABS($E6)&amp;"節"))))</f>
        <v>✓</v>
      </c>
    </row>
    <row r="7" customFormat="false" ht="15" hidden="false" customHeight="true" outlineLevel="0" collapsed="false">
      <c r="A7" s="13" t="str">
        <f aca="false">IF(教師名冊!A7="","",教師名冊!A7)</f>
        <v>待聘(鐘點)</v>
      </c>
      <c r="B7" s="13" t="str">
        <f aca="false">IF(教師名冊!A7="","",教師名冊!B7)</f>
        <v>鐘點教師</v>
      </c>
      <c r="C7" s="13" t="n">
        <f aca="false">IF(教師名冊!A7="","",教師名冊!E7)</f>
        <v>0</v>
      </c>
      <c r="D7" s="13" t="n">
        <f aca="false">IF($A7="","",SUMPRODUCT((配課表!$D$2:$U$41=$A7)*節數矩陣!$D$2:$U$41))</f>
        <v>0</v>
      </c>
      <c r="E7" s="13" t="n">
        <f aca="false">IF($A7="","",IF($C7="","",$C7-$D7))</f>
        <v>0</v>
      </c>
      <c r="F7" s="13" t="str">
        <f aca="false">IF($A7="","",IF($C7="","角色未填",IF($E7=0,"✓",IF($E7&gt;0,"⚠尚缺"&amp;$E7&amp;"節","⚠超授"&amp;ABS($E7)&amp;"節"))))</f>
        <v>✓</v>
      </c>
    </row>
    <row r="8" customFormat="false" ht="15" hidden="false" customHeight="true" outlineLevel="0" collapsed="false">
      <c r="A8" s="13" t="str">
        <f aca="false">IF(教師名冊!A8="","",教師名冊!A8)</f>
        <v/>
      </c>
      <c r="B8" s="13" t="str">
        <f aca="false">IF(教師名冊!A8="","",教師名冊!B8)</f>
        <v/>
      </c>
      <c r="C8" s="13" t="str">
        <f aca="false">IF(教師名冊!A8="","",教師名冊!E8)</f>
        <v/>
      </c>
      <c r="D8" s="13" t="str">
        <f aca="false">IF($A8="","",SUMPRODUCT((配課表!$D$2:$U$41=$A8)*節數矩陣!$D$2:$U$41))</f>
        <v/>
      </c>
      <c r="E8" s="13" t="str">
        <f aca="false">IF($A8="","",IF($C8="","",$C8-$D8))</f>
        <v/>
      </c>
      <c r="F8" s="13" t="str">
        <f aca="false">IF($A8="","",IF($C8="","角色未填",IF($E8=0,"✓",IF($E8&gt;0,"⚠尚缺"&amp;$E8&amp;"節","⚠超授"&amp;ABS($E8)&amp;"節"))))</f>
        <v/>
      </c>
    </row>
    <row r="9" customFormat="false" ht="15" hidden="false" customHeight="true" outlineLevel="0" collapsed="false">
      <c r="A9" s="13" t="str">
        <f aca="false">IF(教師名冊!A9="","",教師名冊!A9)</f>
        <v/>
      </c>
      <c r="B9" s="13" t="str">
        <f aca="false">IF(教師名冊!A9="","",教師名冊!B9)</f>
        <v/>
      </c>
      <c r="C9" s="13" t="str">
        <f aca="false">IF(教師名冊!A9="","",教師名冊!E9)</f>
        <v/>
      </c>
      <c r="D9" s="13" t="str">
        <f aca="false">IF($A9="","",SUMPRODUCT((配課表!$D$2:$U$41=$A9)*節數矩陣!$D$2:$U$41))</f>
        <v/>
      </c>
      <c r="E9" s="13" t="str">
        <f aca="false">IF($A9="","",IF($C9="","",$C9-$D9))</f>
        <v/>
      </c>
      <c r="F9" s="13" t="str">
        <f aca="false">IF($A9="","",IF($C9="","角色未填",IF($E9=0,"✓",IF($E9&gt;0,"⚠尚缺"&amp;$E9&amp;"節","⚠超授"&amp;ABS($E9)&amp;"節"))))</f>
        <v/>
      </c>
    </row>
    <row r="10" customFormat="false" ht="15" hidden="false" customHeight="true" outlineLevel="0" collapsed="false">
      <c r="A10" s="13" t="str">
        <f aca="false">IF(教師名冊!A10="","",教師名冊!A10)</f>
        <v/>
      </c>
      <c r="B10" s="13" t="str">
        <f aca="false">IF(教師名冊!A10="","",教師名冊!B10)</f>
        <v/>
      </c>
      <c r="C10" s="13" t="str">
        <f aca="false">IF(教師名冊!A10="","",教師名冊!E10)</f>
        <v/>
      </c>
      <c r="D10" s="13" t="str">
        <f aca="false">IF($A10="","",SUMPRODUCT((配課表!$D$2:$U$41=$A10)*節數矩陣!$D$2:$U$41))</f>
        <v/>
      </c>
      <c r="E10" s="13" t="str">
        <f aca="false">IF($A10="","",IF($C10="","",$C10-$D10))</f>
        <v/>
      </c>
      <c r="F10" s="13" t="str">
        <f aca="false">IF($A10="","",IF($C10="","角色未填",IF($E10=0,"✓",IF($E10&gt;0,"⚠尚缺"&amp;$E10&amp;"節","⚠超授"&amp;ABS($E10)&amp;"節"))))</f>
        <v/>
      </c>
    </row>
    <row r="11" customFormat="false" ht="15" hidden="false" customHeight="true" outlineLevel="0" collapsed="false">
      <c r="A11" s="13" t="str">
        <f aca="false">IF(教師名冊!A11="","",教師名冊!A11)</f>
        <v/>
      </c>
      <c r="B11" s="13" t="str">
        <f aca="false">IF(教師名冊!A11="","",教師名冊!B11)</f>
        <v/>
      </c>
      <c r="C11" s="13" t="str">
        <f aca="false">IF(教師名冊!A11="","",教師名冊!E11)</f>
        <v/>
      </c>
      <c r="D11" s="13" t="str">
        <f aca="false">IF($A11="","",SUMPRODUCT((配課表!$D$2:$U$41=$A11)*節數矩陣!$D$2:$U$41))</f>
        <v/>
      </c>
      <c r="E11" s="13" t="str">
        <f aca="false">IF($A11="","",IF($C11="","",$C11-$D11))</f>
        <v/>
      </c>
      <c r="F11" s="13" t="str">
        <f aca="false">IF($A11="","",IF($C11="","角色未填",IF($E11=0,"✓",IF($E11&gt;0,"⚠尚缺"&amp;$E11&amp;"節","⚠超授"&amp;ABS($E11)&amp;"節"))))</f>
        <v/>
      </c>
    </row>
    <row r="12" customFormat="false" ht="15" hidden="false" customHeight="true" outlineLevel="0" collapsed="false">
      <c r="A12" s="13" t="str">
        <f aca="false">IF(教師名冊!A12="","",教師名冊!A12)</f>
        <v/>
      </c>
      <c r="B12" s="13" t="str">
        <f aca="false">IF(教師名冊!A12="","",教師名冊!B12)</f>
        <v/>
      </c>
      <c r="C12" s="13" t="str">
        <f aca="false">IF(教師名冊!A12="","",教師名冊!E12)</f>
        <v/>
      </c>
      <c r="D12" s="13" t="str">
        <f aca="false">IF($A12="","",SUMPRODUCT((配課表!$D$2:$U$41=$A12)*節數矩陣!$D$2:$U$41))</f>
        <v/>
      </c>
      <c r="E12" s="13" t="str">
        <f aca="false">IF($A12="","",IF($C12="","",$C12-$D12))</f>
        <v/>
      </c>
      <c r="F12" s="13" t="str">
        <f aca="false">IF($A12="","",IF($C12="","角色未填",IF($E12=0,"✓",IF($E12&gt;0,"⚠尚缺"&amp;$E12&amp;"節","⚠超授"&amp;ABS($E12)&amp;"節"))))</f>
        <v/>
      </c>
    </row>
    <row r="13" customFormat="false" ht="15" hidden="false" customHeight="true" outlineLevel="0" collapsed="false">
      <c r="A13" s="13" t="str">
        <f aca="false">IF(教師名冊!A13="","",教師名冊!A13)</f>
        <v/>
      </c>
      <c r="B13" s="13" t="str">
        <f aca="false">IF(教師名冊!A13="","",教師名冊!B13)</f>
        <v/>
      </c>
      <c r="C13" s="13" t="str">
        <f aca="false">IF(教師名冊!A13="","",教師名冊!E13)</f>
        <v/>
      </c>
      <c r="D13" s="13" t="str">
        <f aca="false">IF($A13="","",SUMPRODUCT((配課表!$D$2:$U$41=$A13)*節數矩陣!$D$2:$U$41))</f>
        <v/>
      </c>
      <c r="E13" s="13" t="str">
        <f aca="false">IF($A13="","",IF($C13="","",$C13-$D13))</f>
        <v/>
      </c>
      <c r="F13" s="13" t="str">
        <f aca="false">IF($A13="","",IF($C13="","角色未填",IF($E13=0,"✓",IF($E13&gt;0,"⚠尚缺"&amp;$E13&amp;"節","⚠超授"&amp;ABS($E13)&amp;"節"))))</f>
        <v/>
      </c>
    </row>
    <row r="14" customFormat="false" ht="15" hidden="false" customHeight="true" outlineLevel="0" collapsed="false">
      <c r="A14" s="13" t="str">
        <f aca="false">IF(教師名冊!A14="","",教師名冊!A14)</f>
        <v/>
      </c>
      <c r="B14" s="13" t="str">
        <f aca="false">IF(教師名冊!A14="","",教師名冊!B14)</f>
        <v/>
      </c>
      <c r="C14" s="13" t="str">
        <f aca="false">IF(教師名冊!A14="","",教師名冊!E14)</f>
        <v/>
      </c>
      <c r="D14" s="13" t="str">
        <f aca="false">IF($A14="","",SUMPRODUCT((配課表!$D$2:$U$41=$A14)*節數矩陣!$D$2:$U$41))</f>
        <v/>
      </c>
      <c r="E14" s="13" t="str">
        <f aca="false">IF($A14="","",IF($C14="","",$C14-$D14))</f>
        <v/>
      </c>
      <c r="F14" s="13" t="str">
        <f aca="false">IF($A14="","",IF($C14="","角色未填",IF($E14=0,"✓",IF($E14&gt;0,"⚠尚缺"&amp;$E14&amp;"節","⚠超授"&amp;ABS($E14)&amp;"節"))))</f>
        <v/>
      </c>
    </row>
    <row r="15" customFormat="false" ht="15" hidden="false" customHeight="true" outlineLevel="0" collapsed="false">
      <c r="A15" s="13" t="str">
        <f aca="false">IF(教師名冊!A15="","",教師名冊!A15)</f>
        <v/>
      </c>
      <c r="B15" s="13" t="str">
        <f aca="false">IF(教師名冊!A15="","",教師名冊!B15)</f>
        <v/>
      </c>
      <c r="C15" s="13" t="str">
        <f aca="false">IF(教師名冊!A15="","",教師名冊!E15)</f>
        <v/>
      </c>
      <c r="D15" s="13" t="str">
        <f aca="false">IF($A15="","",SUMPRODUCT((配課表!$D$2:$U$41=$A15)*節數矩陣!$D$2:$U$41))</f>
        <v/>
      </c>
      <c r="E15" s="13" t="str">
        <f aca="false">IF($A15="","",IF($C15="","",$C15-$D15))</f>
        <v/>
      </c>
      <c r="F15" s="13" t="str">
        <f aca="false">IF($A15="","",IF($C15="","角色未填",IF($E15=0,"✓",IF($E15&gt;0,"⚠尚缺"&amp;$E15&amp;"節","⚠超授"&amp;ABS($E15)&amp;"節"))))</f>
        <v/>
      </c>
    </row>
    <row r="16" customFormat="false" ht="15" hidden="false" customHeight="true" outlineLevel="0" collapsed="false">
      <c r="A16" s="13" t="str">
        <f aca="false">IF(教師名冊!A16="","",教師名冊!A16)</f>
        <v/>
      </c>
      <c r="B16" s="13" t="str">
        <f aca="false">IF(教師名冊!A16="","",教師名冊!B16)</f>
        <v/>
      </c>
      <c r="C16" s="13" t="str">
        <f aca="false">IF(教師名冊!A16="","",教師名冊!E16)</f>
        <v/>
      </c>
      <c r="D16" s="13" t="str">
        <f aca="false">IF($A16="","",SUMPRODUCT((配課表!$D$2:$U$41=$A16)*節數矩陣!$D$2:$U$41))</f>
        <v/>
      </c>
      <c r="E16" s="13" t="str">
        <f aca="false">IF($A16="","",IF($C16="","",$C16-$D16))</f>
        <v/>
      </c>
      <c r="F16" s="13" t="str">
        <f aca="false">IF($A16="","",IF($C16="","角色未填",IF($E16=0,"✓",IF($E16&gt;0,"⚠尚缺"&amp;$E16&amp;"節","⚠超授"&amp;ABS($E16)&amp;"節"))))</f>
        <v/>
      </c>
    </row>
    <row r="17" customFormat="false" ht="15" hidden="false" customHeight="true" outlineLevel="0" collapsed="false">
      <c r="A17" s="13" t="str">
        <f aca="false">IF(教師名冊!A17="","",教師名冊!A17)</f>
        <v/>
      </c>
      <c r="B17" s="13" t="str">
        <f aca="false">IF(教師名冊!A17="","",教師名冊!B17)</f>
        <v/>
      </c>
      <c r="C17" s="13" t="str">
        <f aca="false">IF(教師名冊!A17="","",教師名冊!E17)</f>
        <v/>
      </c>
      <c r="D17" s="13" t="str">
        <f aca="false">IF($A17="","",SUMPRODUCT((配課表!$D$2:$U$41=$A17)*節數矩陣!$D$2:$U$41))</f>
        <v/>
      </c>
      <c r="E17" s="13" t="str">
        <f aca="false">IF($A17="","",IF($C17="","",$C17-$D17))</f>
        <v/>
      </c>
      <c r="F17" s="13" t="str">
        <f aca="false">IF($A17="","",IF($C17="","角色未填",IF($E17=0,"✓",IF($E17&gt;0,"⚠尚缺"&amp;$E17&amp;"節","⚠超授"&amp;ABS($E17)&amp;"節"))))</f>
        <v/>
      </c>
    </row>
    <row r="18" customFormat="false" ht="15" hidden="false" customHeight="true" outlineLevel="0" collapsed="false">
      <c r="A18" s="13" t="str">
        <f aca="false">IF(教師名冊!A18="","",教師名冊!A18)</f>
        <v/>
      </c>
      <c r="B18" s="13" t="str">
        <f aca="false">IF(教師名冊!A18="","",教師名冊!B18)</f>
        <v/>
      </c>
      <c r="C18" s="13" t="str">
        <f aca="false">IF(教師名冊!A18="","",教師名冊!E18)</f>
        <v/>
      </c>
      <c r="D18" s="13" t="str">
        <f aca="false">IF($A18="","",SUMPRODUCT((配課表!$D$2:$U$41=$A18)*節數矩陣!$D$2:$U$41))</f>
        <v/>
      </c>
      <c r="E18" s="13" t="str">
        <f aca="false">IF($A18="","",IF($C18="","",$C18-$D18))</f>
        <v/>
      </c>
      <c r="F18" s="13" t="str">
        <f aca="false">IF($A18="","",IF($C18="","角色未填",IF($E18=0,"✓",IF($E18&gt;0,"⚠尚缺"&amp;$E18&amp;"節","⚠超授"&amp;ABS($E18)&amp;"節"))))</f>
        <v/>
      </c>
    </row>
    <row r="19" customFormat="false" ht="15" hidden="false" customHeight="true" outlineLevel="0" collapsed="false">
      <c r="A19" s="13" t="str">
        <f aca="false">IF(教師名冊!A19="","",教師名冊!A19)</f>
        <v/>
      </c>
      <c r="B19" s="13" t="str">
        <f aca="false">IF(教師名冊!A19="","",教師名冊!B19)</f>
        <v/>
      </c>
      <c r="C19" s="13" t="str">
        <f aca="false">IF(教師名冊!A19="","",教師名冊!E19)</f>
        <v/>
      </c>
      <c r="D19" s="13" t="str">
        <f aca="false">IF($A19="","",SUMPRODUCT((配課表!$D$2:$U$41=$A19)*節數矩陣!$D$2:$U$41))</f>
        <v/>
      </c>
      <c r="E19" s="13" t="str">
        <f aca="false">IF($A19="","",IF($C19="","",$C19-$D19))</f>
        <v/>
      </c>
      <c r="F19" s="13" t="str">
        <f aca="false">IF($A19="","",IF($C19="","角色未填",IF($E19=0,"✓",IF($E19&gt;0,"⚠尚缺"&amp;$E19&amp;"節","⚠超授"&amp;ABS($E19)&amp;"節"))))</f>
        <v/>
      </c>
    </row>
    <row r="20" customFormat="false" ht="15" hidden="false" customHeight="true" outlineLevel="0" collapsed="false">
      <c r="A20" s="13" t="str">
        <f aca="false">IF(教師名冊!A20="","",教師名冊!A20)</f>
        <v/>
      </c>
      <c r="B20" s="13" t="str">
        <f aca="false">IF(教師名冊!A20="","",教師名冊!B20)</f>
        <v/>
      </c>
      <c r="C20" s="13" t="str">
        <f aca="false">IF(教師名冊!A20="","",教師名冊!E20)</f>
        <v/>
      </c>
      <c r="D20" s="13" t="str">
        <f aca="false">IF($A20="","",SUMPRODUCT((配課表!$D$2:$U$41=$A20)*節數矩陣!$D$2:$U$41))</f>
        <v/>
      </c>
      <c r="E20" s="13" t="str">
        <f aca="false">IF($A20="","",IF($C20="","",$C20-$D20))</f>
        <v/>
      </c>
      <c r="F20" s="13" t="str">
        <f aca="false">IF($A20="","",IF($C20="","角色未填",IF($E20=0,"✓",IF($E20&gt;0,"⚠尚缺"&amp;$E20&amp;"節","⚠超授"&amp;ABS($E20)&amp;"節"))))</f>
        <v/>
      </c>
    </row>
    <row r="21" customFormat="false" ht="15" hidden="false" customHeight="true" outlineLevel="0" collapsed="false">
      <c r="A21" s="13" t="str">
        <f aca="false">IF(教師名冊!A21="","",教師名冊!A21)</f>
        <v/>
      </c>
      <c r="B21" s="13" t="str">
        <f aca="false">IF(教師名冊!A21="","",教師名冊!B21)</f>
        <v/>
      </c>
      <c r="C21" s="13" t="str">
        <f aca="false">IF(教師名冊!A21="","",教師名冊!E21)</f>
        <v/>
      </c>
      <c r="D21" s="13" t="str">
        <f aca="false">IF($A21="","",SUMPRODUCT((配課表!$D$2:$U$41=$A21)*節數矩陣!$D$2:$U$41))</f>
        <v/>
      </c>
      <c r="E21" s="13" t="str">
        <f aca="false">IF($A21="","",IF($C21="","",$C21-$D21))</f>
        <v/>
      </c>
      <c r="F21" s="13" t="str">
        <f aca="false">IF($A21="","",IF($C21="","角色未填",IF($E21=0,"✓",IF($E21&gt;0,"⚠尚缺"&amp;$E21&amp;"節","⚠超授"&amp;ABS($E21)&amp;"節"))))</f>
        <v/>
      </c>
    </row>
    <row r="22" customFormat="false" ht="15" hidden="false" customHeight="true" outlineLevel="0" collapsed="false">
      <c r="A22" s="13" t="str">
        <f aca="false">IF(教師名冊!A22="","",教師名冊!A22)</f>
        <v/>
      </c>
      <c r="B22" s="13" t="str">
        <f aca="false">IF(教師名冊!A22="","",教師名冊!B22)</f>
        <v/>
      </c>
      <c r="C22" s="13" t="str">
        <f aca="false">IF(教師名冊!A22="","",教師名冊!E22)</f>
        <v/>
      </c>
      <c r="D22" s="13" t="str">
        <f aca="false">IF($A22="","",SUMPRODUCT((配課表!$D$2:$U$41=$A22)*節數矩陣!$D$2:$U$41))</f>
        <v/>
      </c>
      <c r="E22" s="13" t="str">
        <f aca="false">IF($A22="","",IF($C22="","",$C22-$D22))</f>
        <v/>
      </c>
      <c r="F22" s="13" t="str">
        <f aca="false">IF($A22="","",IF($C22="","角色未填",IF($E22=0,"✓",IF($E22&gt;0,"⚠尚缺"&amp;$E22&amp;"節","⚠超授"&amp;ABS($E22)&amp;"節"))))</f>
        <v/>
      </c>
    </row>
    <row r="23" customFormat="false" ht="15" hidden="false" customHeight="true" outlineLevel="0" collapsed="false">
      <c r="A23" s="13" t="str">
        <f aca="false">IF(教師名冊!A23="","",教師名冊!A23)</f>
        <v/>
      </c>
      <c r="B23" s="13" t="str">
        <f aca="false">IF(教師名冊!A23="","",教師名冊!B23)</f>
        <v/>
      </c>
      <c r="C23" s="13" t="str">
        <f aca="false">IF(教師名冊!A23="","",教師名冊!E23)</f>
        <v/>
      </c>
      <c r="D23" s="13" t="str">
        <f aca="false">IF($A23="","",SUMPRODUCT((配課表!$D$2:$U$41=$A23)*節數矩陣!$D$2:$U$41))</f>
        <v/>
      </c>
      <c r="E23" s="13" t="str">
        <f aca="false">IF($A23="","",IF($C23="","",$C23-$D23))</f>
        <v/>
      </c>
      <c r="F23" s="13" t="str">
        <f aca="false">IF($A23="","",IF($C23="","角色未填",IF($E23=0,"✓",IF($E23&gt;0,"⚠尚缺"&amp;$E23&amp;"節","⚠超授"&amp;ABS($E23)&amp;"節"))))</f>
        <v/>
      </c>
    </row>
    <row r="24" customFormat="false" ht="15" hidden="false" customHeight="true" outlineLevel="0" collapsed="false">
      <c r="A24" s="13" t="str">
        <f aca="false">IF(教師名冊!A24="","",教師名冊!A24)</f>
        <v/>
      </c>
      <c r="B24" s="13" t="str">
        <f aca="false">IF(教師名冊!A24="","",教師名冊!B24)</f>
        <v/>
      </c>
      <c r="C24" s="13" t="str">
        <f aca="false">IF(教師名冊!A24="","",教師名冊!E24)</f>
        <v/>
      </c>
      <c r="D24" s="13" t="str">
        <f aca="false">IF($A24="","",SUMPRODUCT((配課表!$D$2:$U$41=$A24)*節數矩陣!$D$2:$U$41))</f>
        <v/>
      </c>
      <c r="E24" s="13" t="str">
        <f aca="false">IF($A24="","",IF($C24="","",$C24-$D24))</f>
        <v/>
      </c>
      <c r="F24" s="13" t="str">
        <f aca="false">IF($A24="","",IF($C24="","角色未填",IF($E24=0,"✓",IF($E24&gt;0,"⚠尚缺"&amp;$E24&amp;"節","⚠超授"&amp;ABS($E24)&amp;"節"))))</f>
        <v/>
      </c>
    </row>
    <row r="25" customFormat="false" ht="15" hidden="false" customHeight="true" outlineLevel="0" collapsed="false">
      <c r="A25" s="13" t="str">
        <f aca="false">IF(教師名冊!A25="","",教師名冊!A25)</f>
        <v/>
      </c>
      <c r="B25" s="13" t="str">
        <f aca="false">IF(教師名冊!A25="","",教師名冊!B25)</f>
        <v/>
      </c>
      <c r="C25" s="13" t="str">
        <f aca="false">IF(教師名冊!A25="","",教師名冊!E25)</f>
        <v/>
      </c>
      <c r="D25" s="13" t="str">
        <f aca="false">IF($A25="","",SUMPRODUCT((配課表!$D$2:$U$41=$A25)*節數矩陣!$D$2:$U$41))</f>
        <v/>
      </c>
      <c r="E25" s="13" t="str">
        <f aca="false">IF($A25="","",IF($C25="","",$C25-$D25))</f>
        <v/>
      </c>
      <c r="F25" s="13" t="str">
        <f aca="false">IF($A25="","",IF($C25="","角色未填",IF($E25=0,"✓",IF($E25&gt;0,"⚠尚缺"&amp;$E25&amp;"節","⚠超授"&amp;ABS($E25)&amp;"節"))))</f>
        <v/>
      </c>
    </row>
    <row r="26" customFormat="false" ht="15" hidden="false" customHeight="true" outlineLevel="0" collapsed="false">
      <c r="A26" s="13" t="str">
        <f aca="false">IF(教師名冊!A26="","",教師名冊!A26)</f>
        <v/>
      </c>
      <c r="B26" s="13" t="str">
        <f aca="false">IF(教師名冊!A26="","",教師名冊!B26)</f>
        <v/>
      </c>
      <c r="C26" s="13" t="str">
        <f aca="false">IF(教師名冊!A26="","",教師名冊!E26)</f>
        <v/>
      </c>
      <c r="D26" s="13" t="str">
        <f aca="false">IF($A26="","",SUMPRODUCT((配課表!$D$2:$U$41=$A26)*節數矩陣!$D$2:$U$41))</f>
        <v/>
      </c>
      <c r="E26" s="13" t="str">
        <f aca="false">IF($A26="","",IF($C26="","",$C26-$D26))</f>
        <v/>
      </c>
      <c r="F26" s="13" t="str">
        <f aca="false">IF($A26="","",IF($C26="","角色未填",IF($E26=0,"✓",IF($E26&gt;0,"⚠尚缺"&amp;$E26&amp;"節","⚠超授"&amp;ABS($E26)&amp;"節"))))</f>
        <v/>
      </c>
    </row>
    <row r="27" customFormat="false" ht="15" hidden="false" customHeight="true" outlineLevel="0" collapsed="false">
      <c r="A27" s="13" t="str">
        <f aca="false">IF(教師名冊!A27="","",教師名冊!A27)</f>
        <v/>
      </c>
      <c r="B27" s="13" t="str">
        <f aca="false">IF(教師名冊!A27="","",教師名冊!B27)</f>
        <v/>
      </c>
      <c r="C27" s="13" t="str">
        <f aca="false">IF(教師名冊!A27="","",教師名冊!E27)</f>
        <v/>
      </c>
      <c r="D27" s="13" t="str">
        <f aca="false">IF($A27="","",SUMPRODUCT((配課表!$D$2:$U$41=$A27)*節數矩陣!$D$2:$U$41))</f>
        <v/>
      </c>
      <c r="E27" s="13" t="str">
        <f aca="false">IF($A27="","",IF($C27="","",$C27-$D27))</f>
        <v/>
      </c>
      <c r="F27" s="13" t="str">
        <f aca="false">IF($A27="","",IF($C27="","角色未填",IF($E27=0,"✓",IF($E27&gt;0,"⚠尚缺"&amp;$E27&amp;"節","⚠超授"&amp;ABS($E27)&amp;"節"))))</f>
        <v/>
      </c>
    </row>
    <row r="28" customFormat="false" ht="15" hidden="false" customHeight="true" outlineLevel="0" collapsed="false">
      <c r="A28" s="13" t="str">
        <f aca="false">IF(教師名冊!A28="","",教師名冊!A28)</f>
        <v/>
      </c>
      <c r="B28" s="13" t="str">
        <f aca="false">IF(教師名冊!A28="","",教師名冊!B28)</f>
        <v/>
      </c>
      <c r="C28" s="13" t="str">
        <f aca="false">IF(教師名冊!A28="","",教師名冊!E28)</f>
        <v/>
      </c>
      <c r="D28" s="13" t="str">
        <f aca="false">IF($A28="","",SUMPRODUCT((配課表!$D$2:$U$41=$A28)*節數矩陣!$D$2:$U$41))</f>
        <v/>
      </c>
      <c r="E28" s="13" t="str">
        <f aca="false">IF($A28="","",IF($C28="","",$C28-$D28))</f>
        <v/>
      </c>
      <c r="F28" s="13" t="str">
        <f aca="false">IF($A28="","",IF($C28="","角色未填",IF($E28=0,"✓",IF($E28&gt;0,"⚠尚缺"&amp;$E28&amp;"節","⚠超授"&amp;ABS($E28)&amp;"節"))))</f>
        <v/>
      </c>
    </row>
    <row r="29" customFormat="false" ht="15" hidden="false" customHeight="true" outlineLevel="0" collapsed="false">
      <c r="A29" s="13" t="str">
        <f aca="false">IF(教師名冊!A29="","",教師名冊!A29)</f>
        <v/>
      </c>
      <c r="B29" s="13" t="str">
        <f aca="false">IF(教師名冊!A29="","",教師名冊!B29)</f>
        <v/>
      </c>
      <c r="C29" s="13" t="str">
        <f aca="false">IF(教師名冊!A29="","",教師名冊!E29)</f>
        <v/>
      </c>
      <c r="D29" s="13" t="str">
        <f aca="false">IF($A29="","",SUMPRODUCT((配課表!$D$2:$U$41=$A29)*節數矩陣!$D$2:$U$41))</f>
        <v/>
      </c>
      <c r="E29" s="13" t="str">
        <f aca="false">IF($A29="","",IF($C29="","",$C29-$D29))</f>
        <v/>
      </c>
      <c r="F29" s="13" t="str">
        <f aca="false">IF($A29="","",IF($C29="","角色未填",IF($E29=0,"✓",IF($E29&gt;0,"⚠尚缺"&amp;$E29&amp;"節","⚠超授"&amp;ABS($E29)&amp;"節"))))</f>
        <v/>
      </c>
    </row>
    <row r="30" customFormat="false" ht="15" hidden="false" customHeight="true" outlineLevel="0" collapsed="false">
      <c r="A30" s="13" t="str">
        <f aca="false">IF(教師名冊!A30="","",教師名冊!A30)</f>
        <v/>
      </c>
      <c r="B30" s="13" t="str">
        <f aca="false">IF(教師名冊!A30="","",教師名冊!B30)</f>
        <v/>
      </c>
      <c r="C30" s="13" t="str">
        <f aca="false">IF(教師名冊!A30="","",教師名冊!E30)</f>
        <v/>
      </c>
      <c r="D30" s="13" t="str">
        <f aca="false">IF($A30="","",SUMPRODUCT((配課表!$D$2:$U$41=$A30)*節數矩陣!$D$2:$U$41))</f>
        <v/>
      </c>
      <c r="E30" s="13" t="str">
        <f aca="false">IF($A30="","",IF($C30="","",$C30-$D30))</f>
        <v/>
      </c>
      <c r="F30" s="13" t="str">
        <f aca="false">IF($A30="","",IF($C30="","角色未填",IF($E30=0,"✓",IF($E30&gt;0,"⚠尚缺"&amp;$E30&amp;"節","⚠超授"&amp;ABS($E30)&amp;"節"))))</f>
        <v/>
      </c>
    </row>
    <row r="31" customFormat="false" ht="15" hidden="false" customHeight="true" outlineLevel="0" collapsed="false">
      <c r="A31" s="13" t="str">
        <f aca="false">IF(教師名冊!A31="","",教師名冊!A31)</f>
        <v/>
      </c>
      <c r="B31" s="13" t="str">
        <f aca="false">IF(教師名冊!A31="","",教師名冊!B31)</f>
        <v/>
      </c>
      <c r="C31" s="13" t="str">
        <f aca="false">IF(教師名冊!A31="","",教師名冊!E31)</f>
        <v/>
      </c>
      <c r="D31" s="13" t="str">
        <f aca="false">IF($A31="","",SUMPRODUCT((配課表!$D$2:$U$41=$A31)*節數矩陣!$D$2:$U$41))</f>
        <v/>
      </c>
      <c r="E31" s="13" t="str">
        <f aca="false">IF($A31="","",IF($C31="","",$C31-$D31))</f>
        <v/>
      </c>
      <c r="F31" s="13" t="str">
        <f aca="false">IF($A31="","",IF($C31="","角色未填",IF($E31=0,"✓",IF($E31&gt;0,"⚠尚缺"&amp;$E31&amp;"節","⚠超授"&amp;ABS($E31)&amp;"節"))))</f>
        <v/>
      </c>
    </row>
    <row r="32" customFormat="false" ht="15" hidden="false" customHeight="true" outlineLevel="0" collapsed="false">
      <c r="A32" s="13" t="str">
        <f aca="false">IF(教師名冊!A32="","",教師名冊!A32)</f>
        <v/>
      </c>
      <c r="B32" s="13" t="str">
        <f aca="false">IF(教師名冊!A32="","",教師名冊!B32)</f>
        <v/>
      </c>
      <c r="C32" s="13" t="str">
        <f aca="false">IF(教師名冊!A32="","",教師名冊!E32)</f>
        <v/>
      </c>
      <c r="D32" s="13" t="str">
        <f aca="false">IF($A32="","",SUMPRODUCT((配課表!$D$2:$U$41=$A32)*節數矩陣!$D$2:$U$41))</f>
        <v/>
      </c>
      <c r="E32" s="13" t="str">
        <f aca="false">IF($A32="","",IF($C32="","",$C32-$D32))</f>
        <v/>
      </c>
      <c r="F32" s="13" t="str">
        <f aca="false">IF($A32="","",IF($C32="","角色未填",IF($E32=0,"✓",IF($E32&gt;0,"⚠尚缺"&amp;$E32&amp;"節","⚠超授"&amp;ABS($E32)&amp;"節"))))</f>
        <v/>
      </c>
    </row>
    <row r="33" customFormat="false" ht="15" hidden="false" customHeight="true" outlineLevel="0" collapsed="false">
      <c r="A33" s="13" t="str">
        <f aca="false">IF(教師名冊!A33="","",教師名冊!A33)</f>
        <v/>
      </c>
      <c r="B33" s="13" t="str">
        <f aca="false">IF(教師名冊!A33="","",教師名冊!B33)</f>
        <v/>
      </c>
      <c r="C33" s="13" t="str">
        <f aca="false">IF(教師名冊!A33="","",教師名冊!E33)</f>
        <v/>
      </c>
      <c r="D33" s="13" t="str">
        <f aca="false">IF($A33="","",SUMPRODUCT((配課表!$D$2:$U$41=$A33)*節數矩陣!$D$2:$U$41))</f>
        <v/>
      </c>
      <c r="E33" s="13" t="str">
        <f aca="false">IF($A33="","",IF($C33="","",$C33-$D33))</f>
        <v/>
      </c>
      <c r="F33" s="13" t="str">
        <f aca="false">IF($A33="","",IF($C33="","角色未填",IF($E33=0,"✓",IF($E33&gt;0,"⚠尚缺"&amp;$E33&amp;"節","⚠超授"&amp;ABS($E33)&amp;"節"))))</f>
        <v/>
      </c>
    </row>
    <row r="34" customFormat="false" ht="15" hidden="false" customHeight="true" outlineLevel="0" collapsed="false">
      <c r="A34" s="13" t="str">
        <f aca="false">IF(教師名冊!A34="","",教師名冊!A34)</f>
        <v/>
      </c>
      <c r="B34" s="13" t="str">
        <f aca="false">IF(教師名冊!A34="","",教師名冊!B34)</f>
        <v/>
      </c>
      <c r="C34" s="13" t="str">
        <f aca="false">IF(教師名冊!A34="","",教師名冊!E34)</f>
        <v/>
      </c>
      <c r="D34" s="13" t="str">
        <f aca="false">IF($A34="","",SUMPRODUCT((配課表!$D$2:$U$41=$A34)*節數矩陣!$D$2:$U$41))</f>
        <v/>
      </c>
      <c r="E34" s="13" t="str">
        <f aca="false">IF($A34="","",IF($C34="","",$C34-$D34))</f>
        <v/>
      </c>
      <c r="F34" s="13" t="str">
        <f aca="false">IF($A34="","",IF($C34="","角色未填",IF($E34=0,"✓",IF($E34&gt;0,"⚠尚缺"&amp;$E34&amp;"節","⚠超授"&amp;ABS($E34)&amp;"節"))))</f>
        <v/>
      </c>
    </row>
    <row r="35" customFormat="false" ht="15" hidden="false" customHeight="true" outlineLevel="0" collapsed="false">
      <c r="A35" s="13" t="str">
        <f aca="false">IF(教師名冊!A35="","",教師名冊!A35)</f>
        <v/>
      </c>
      <c r="B35" s="13" t="str">
        <f aca="false">IF(教師名冊!A35="","",教師名冊!B35)</f>
        <v/>
      </c>
      <c r="C35" s="13" t="str">
        <f aca="false">IF(教師名冊!A35="","",教師名冊!E35)</f>
        <v/>
      </c>
      <c r="D35" s="13" t="str">
        <f aca="false">IF($A35="","",SUMPRODUCT((配課表!$D$2:$U$41=$A35)*節數矩陣!$D$2:$U$41))</f>
        <v/>
      </c>
      <c r="E35" s="13" t="str">
        <f aca="false">IF($A35="","",IF($C35="","",$C35-$D35))</f>
        <v/>
      </c>
      <c r="F35" s="13" t="str">
        <f aca="false">IF($A35="","",IF($C35="","角色未填",IF($E35=0,"✓",IF($E35&gt;0,"⚠尚缺"&amp;$E35&amp;"節","⚠超授"&amp;ABS($E35)&amp;"節"))))</f>
        <v/>
      </c>
    </row>
    <row r="36" customFormat="false" ht="15" hidden="false" customHeight="true" outlineLevel="0" collapsed="false">
      <c r="A36" s="13" t="str">
        <f aca="false">IF(教師名冊!A36="","",教師名冊!A36)</f>
        <v/>
      </c>
      <c r="B36" s="13" t="str">
        <f aca="false">IF(教師名冊!A36="","",教師名冊!B36)</f>
        <v/>
      </c>
      <c r="C36" s="13" t="str">
        <f aca="false">IF(教師名冊!A36="","",教師名冊!E36)</f>
        <v/>
      </c>
      <c r="D36" s="13" t="str">
        <f aca="false">IF($A36="","",SUMPRODUCT((配課表!$D$2:$U$41=$A36)*節數矩陣!$D$2:$U$41))</f>
        <v/>
      </c>
      <c r="E36" s="13" t="str">
        <f aca="false">IF($A36="","",IF($C36="","",$C36-$D36))</f>
        <v/>
      </c>
      <c r="F36" s="13" t="str">
        <f aca="false">IF($A36="","",IF($C36="","角色未填",IF($E36=0,"✓",IF($E36&gt;0,"⚠尚缺"&amp;$E36&amp;"節","⚠超授"&amp;ABS($E36)&amp;"節"))))</f>
        <v/>
      </c>
    </row>
    <row r="37" customFormat="false" ht="15" hidden="false" customHeight="true" outlineLevel="0" collapsed="false">
      <c r="A37" s="13" t="str">
        <f aca="false">IF(教師名冊!A37="","",教師名冊!A37)</f>
        <v/>
      </c>
      <c r="B37" s="13" t="str">
        <f aca="false">IF(教師名冊!A37="","",教師名冊!B37)</f>
        <v/>
      </c>
      <c r="C37" s="13" t="str">
        <f aca="false">IF(教師名冊!A37="","",教師名冊!E37)</f>
        <v/>
      </c>
      <c r="D37" s="13" t="str">
        <f aca="false">IF($A37="","",SUMPRODUCT((配課表!$D$2:$U$41=$A37)*節數矩陣!$D$2:$U$41))</f>
        <v/>
      </c>
      <c r="E37" s="13" t="str">
        <f aca="false">IF($A37="","",IF($C37="","",$C37-$D37))</f>
        <v/>
      </c>
      <c r="F37" s="13" t="str">
        <f aca="false">IF($A37="","",IF($C37="","角色未填",IF($E37=0,"✓",IF($E37&gt;0,"⚠尚缺"&amp;$E37&amp;"節","⚠超授"&amp;ABS($E37)&amp;"節"))))</f>
        <v/>
      </c>
    </row>
    <row r="38" customFormat="false" ht="15" hidden="false" customHeight="true" outlineLevel="0" collapsed="false">
      <c r="A38" s="13" t="str">
        <f aca="false">IF(教師名冊!A38="","",教師名冊!A38)</f>
        <v/>
      </c>
      <c r="B38" s="13" t="str">
        <f aca="false">IF(教師名冊!A38="","",教師名冊!B38)</f>
        <v/>
      </c>
      <c r="C38" s="13" t="str">
        <f aca="false">IF(教師名冊!A38="","",教師名冊!E38)</f>
        <v/>
      </c>
      <c r="D38" s="13" t="str">
        <f aca="false">IF($A38="","",SUMPRODUCT((配課表!$D$2:$U$41=$A38)*節數矩陣!$D$2:$U$41))</f>
        <v/>
      </c>
      <c r="E38" s="13" t="str">
        <f aca="false">IF($A38="","",IF($C38="","",$C38-$D38))</f>
        <v/>
      </c>
      <c r="F38" s="13" t="str">
        <f aca="false">IF($A38="","",IF($C38="","角色未填",IF($E38=0,"✓",IF($E38&gt;0,"⚠尚缺"&amp;$E38&amp;"節","⚠超授"&amp;ABS($E38)&amp;"節"))))</f>
        <v/>
      </c>
    </row>
    <row r="39" customFormat="false" ht="15" hidden="false" customHeight="true" outlineLevel="0" collapsed="false">
      <c r="A39" s="13" t="str">
        <f aca="false">IF(教師名冊!A39="","",教師名冊!A39)</f>
        <v/>
      </c>
      <c r="B39" s="13" t="str">
        <f aca="false">IF(教師名冊!A39="","",教師名冊!B39)</f>
        <v/>
      </c>
      <c r="C39" s="13" t="str">
        <f aca="false">IF(教師名冊!A39="","",教師名冊!E39)</f>
        <v/>
      </c>
      <c r="D39" s="13" t="str">
        <f aca="false">IF($A39="","",SUMPRODUCT((配課表!$D$2:$U$41=$A39)*節數矩陣!$D$2:$U$41))</f>
        <v/>
      </c>
      <c r="E39" s="13" t="str">
        <f aca="false">IF($A39="","",IF($C39="","",$C39-$D39))</f>
        <v/>
      </c>
      <c r="F39" s="13" t="str">
        <f aca="false">IF($A39="","",IF($C39="","角色未填",IF($E39=0,"✓",IF($E39&gt;0,"⚠尚缺"&amp;$E39&amp;"節","⚠超授"&amp;ABS($E39)&amp;"節"))))</f>
        <v/>
      </c>
    </row>
    <row r="40" customFormat="false" ht="15" hidden="false" customHeight="true" outlineLevel="0" collapsed="false">
      <c r="A40" s="13" t="str">
        <f aca="false">IF(教師名冊!A40="","",教師名冊!A40)</f>
        <v/>
      </c>
      <c r="B40" s="13" t="str">
        <f aca="false">IF(教師名冊!A40="","",教師名冊!B40)</f>
        <v/>
      </c>
      <c r="C40" s="13" t="str">
        <f aca="false">IF(教師名冊!A40="","",教師名冊!E40)</f>
        <v/>
      </c>
      <c r="D40" s="13" t="str">
        <f aca="false">IF($A40="","",SUMPRODUCT((配課表!$D$2:$U$41=$A40)*節數矩陣!$D$2:$U$41))</f>
        <v/>
      </c>
      <c r="E40" s="13" t="str">
        <f aca="false">IF($A40="","",IF($C40="","",$C40-$D40))</f>
        <v/>
      </c>
      <c r="F40" s="13" t="str">
        <f aca="false">IF($A40="","",IF($C40="","角色未填",IF($E40=0,"✓",IF($E40&gt;0,"⚠尚缺"&amp;$E40&amp;"節","⚠超授"&amp;ABS($E40)&amp;"節"))))</f>
        <v/>
      </c>
    </row>
    <row r="41" customFormat="false" ht="15" hidden="false" customHeight="true" outlineLevel="0" collapsed="false">
      <c r="A41" s="13" t="str">
        <f aca="false">IF(教師名冊!A41="","",教師名冊!A41)</f>
        <v/>
      </c>
      <c r="B41" s="13" t="str">
        <f aca="false">IF(教師名冊!A41="","",教師名冊!B41)</f>
        <v/>
      </c>
      <c r="C41" s="13" t="str">
        <f aca="false">IF(教師名冊!A41="","",教師名冊!E41)</f>
        <v/>
      </c>
      <c r="D41" s="13" t="str">
        <f aca="false">IF($A41="","",SUMPRODUCT((配課表!$D$2:$U$41=$A41)*節數矩陣!$D$2:$U$41))</f>
        <v/>
      </c>
      <c r="E41" s="13" t="str">
        <f aca="false">IF($A41="","",IF($C41="","",$C41-$D41))</f>
        <v/>
      </c>
      <c r="F41" s="13" t="str">
        <f aca="false">IF($A41="","",IF($C41="","角色未填",IF($E41=0,"✓",IF($E41&gt;0,"⚠尚缺"&amp;$E41&amp;"節","⚠超授"&amp;ABS($E41)&amp;"節"))))</f>
        <v/>
      </c>
    </row>
    <row r="42" customFormat="false" ht="15" hidden="false" customHeight="true" outlineLevel="0" collapsed="false">
      <c r="A42" s="13" t="str">
        <f aca="false">IF(教師名冊!A42="","",教師名冊!A42)</f>
        <v/>
      </c>
      <c r="B42" s="13" t="str">
        <f aca="false">IF(教師名冊!A42="","",教師名冊!B42)</f>
        <v/>
      </c>
      <c r="C42" s="13" t="str">
        <f aca="false">IF(教師名冊!A42="","",教師名冊!E42)</f>
        <v/>
      </c>
      <c r="D42" s="13" t="str">
        <f aca="false">IF($A42="","",SUMPRODUCT((配課表!$D$2:$U$41=$A42)*節數矩陣!$D$2:$U$41))</f>
        <v/>
      </c>
      <c r="E42" s="13" t="str">
        <f aca="false">IF($A42="","",IF($C42="","",$C42-$D42))</f>
        <v/>
      </c>
      <c r="F42" s="13" t="str">
        <f aca="false">IF($A42="","",IF($C42="","角色未填",IF($E42=0,"✓",IF($E42&gt;0,"⚠尚缺"&amp;$E42&amp;"節","⚠超授"&amp;ABS($E42)&amp;"節"))))</f>
        <v/>
      </c>
    </row>
    <row r="43" customFormat="false" ht="15" hidden="false" customHeight="true" outlineLevel="0" collapsed="false">
      <c r="A43" s="13" t="str">
        <f aca="false">IF(教師名冊!A43="","",教師名冊!A43)</f>
        <v/>
      </c>
      <c r="B43" s="13" t="str">
        <f aca="false">IF(教師名冊!A43="","",教師名冊!B43)</f>
        <v/>
      </c>
      <c r="C43" s="13" t="str">
        <f aca="false">IF(教師名冊!A43="","",教師名冊!E43)</f>
        <v/>
      </c>
      <c r="D43" s="13" t="str">
        <f aca="false">IF($A43="","",SUMPRODUCT((配課表!$D$2:$U$41=$A43)*節數矩陣!$D$2:$U$41))</f>
        <v/>
      </c>
      <c r="E43" s="13" t="str">
        <f aca="false">IF($A43="","",IF($C43="","",$C43-$D43))</f>
        <v/>
      </c>
      <c r="F43" s="13" t="str">
        <f aca="false">IF($A43="","",IF($C43="","角色未填",IF($E43=0,"✓",IF($E43&gt;0,"⚠尚缺"&amp;$E43&amp;"節","⚠超授"&amp;ABS($E43)&amp;"節"))))</f>
        <v/>
      </c>
    </row>
    <row r="44" customFormat="false" ht="15" hidden="false" customHeight="true" outlineLevel="0" collapsed="false">
      <c r="A44" s="13" t="str">
        <f aca="false">IF(教師名冊!A44="","",教師名冊!A44)</f>
        <v/>
      </c>
      <c r="B44" s="13" t="str">
        <f aca="false">IF(教師名冊!A44="","",教師名冊!B44)</f>
        <v/>
      </c>
      <c r="C44" s="13" t="str">
        <f aca="false">IF(教師名冊!A44="","",教師名冊!E44)</f>
        <v/>
      </c>
      <c r="D44" s="13" t="str">
        <f aca="false">IF($A44="","",SUMPRODUCT((配課表!$D$2:$U$41=$A44)*節數矩陣!$D$2:$U$41))</f>
        <v/>
      </c>
      <c r="E44" s="13" t="str">
        <f aca="false">IF($A44="","",IF($C44="","",$C44-$D44))</f>
        <v/>
      </c>
      <c r="F44" s="13" t="str">
        <f aca="false">IF($A44="","",IF($C44="","角色未填",IF($E44=0,"✓",IF($E44&gt;0,"⚠尚缺"&amp;$E44&amp;"節","⚠超授"&amp;ABS($E44)&amp;"節"))))</f>
        <v/>
      </c>
    </row>
    <row r="45" customFormat="false" ht="15" hidden="false" customHeight="true" outlineLevel="0" collapsed="false">
      <c r="A45" s="13" t="str">
        <f aca="false">IF(教師名冊!A45="","",教師名冊!A45)</f>
        <v/>
      </c>
      <c r="B45" s="13" t="str">
        <f aca="false">IF(教師名冊!A45="","",教師名冊!B45)</f>
        <v/>
      </c>
      <c r="C45" s="13" t="str">
        <f aca="false">IF(教師名冊!A45="","",教師名冊!E45)</f>
        <v/>
      </c>
      <c r="D45" s="13" t="str">
        <f aca="false">IF($A45="","",SUMPRODUCT((配課表!$D$2:$U$41=$A45)*節數矩陣!$D$2:$U$41))</f>
        <v/>
      </c>
      <c r="E45" s="13" t="str">
        <f aca="false">IF($A45="","",IF($C45="","",$C45-$D45))</f>
        <v/>
      </c>
      <c r="F45" s="13" t="str">
        <f aca="false">IF($A45="","",IF($C45="","角色未填",IF($E45=0,"✓",IF($E45&gt;0,"⚠尚缺"&amp;$E45&amp;"節","⚠超授"&amp;ABS($E45)&amp;"節"))))</f>
        <v/>
      </c>
    </row>
    <row r="46" customFormat="false" ht="15" hidden="false" customHeight="true" outlineLevel="0" collapsed="false">
      <c r="A46" s="13" t="str">
        <f aca="false">IF(教師名冊!A46="","",教師名冊!A46)</f>
        <v/>
      </c>
      <c r="B46" s="13" t="str">
        <f aca="false">IF(教師名冊!A46="","",教師名冊!B46)</f>
        <v/>
      </c>
      <c r="C46" s="13" t="str">
        <f aca="false">IF(教師名冊!A46="","",教師名冊!E46)</f>
        <v/>
      </c>
      <c r="D46" s="13" t="str">
        <f aca="false">IF($A46="","",SUMPRODUCT((配課表!$D$2:$U$41=$A46)*節數矩陣!$D$2:$U$41))</f>
        <v/>
      </c>
      <c r="E46" s="13" t="str">
        <f aca="false">IF($A46="","",IF($C46="","",$C46-$D46))</f>
        <v/>
      </c>
      <c r="F46" s="13" t="str">
        <f aca="false">IF($A46="","",IF($C46="","角色未填",IF($E46=0,"✓",IF($E46&gt;0,"⚠尚缺"&amp;$E46&amp;"節","⚠超授"&amp;ABS($E46)&amp;"節"))))</f>
        <v/>
      </c>
    </row>
    <row r="47" customFormat="false" ht="15" hidden="false" customHeight="true" outlineLevel="0" collapsed="false">
      <c r="A47" s="13" t="str">
        <f aca="false">IF(教師名冊!A47="","",教師名冊!A47)</f>
        <v/>
      </c>
      <c r="B47" s="13" t="str">
        <f aca="false">IF(教師名冊!A47="","",教師名冊!B47)</f>
        <v/>
      </c>
      <c r="C47" s="13" t="str">
        <f aca="false">IF(教師名冊!A47="","",教師名冊!E47)</f>
        <v/>
      </c>
      <c r="D47" s="13" t="str">
        <f aca="false">IF($A47="","",SUMPRODUCT((配課表!$D$2:$U$41=$A47)*節數矩陣!$D$2:$U$41))</f>
        <v/>
      </c>
      <c r="E47" s="13" t="str">
        <f aca="false">IF($A47="","",IF($C47="","",$C47-$D47))</f>
        <v/>
      </c>
      <c r="F47" s="13" t="str">
        <f aca="false">IF($A47="","",IF($C47="","角色未填",IF($E47=0,"✓",IF($E47&gt;0,"⚠尚缺"&amp;$E47&amp;"節","⚠超授"&amp;ABS($E47)&amp;"節"))))</f>
        <v/>
      </c>
    </row>
    <row r="48" customFormat="false" ht="15" hidden="false" customHeight="true" outlineLevel="0" collapsed="false">
      <c r="A48" s="13" t="str">
        <f aca="false">IF(教師名冊!A48="","",教師名冊!A48)</f>
        <v/>
      </c>
      <c r="B48" s="13" t="str">
        <f aca="false">IF(教師名冊!A48="","",教師名冊!B48)</f>
        <v/>
      </c>
      <c r="C48" s="13" t="str">
        <f aca="false">IF(教師名冊!A48="","",教師名冊!E48)</f>
        <v/>
      </c>
      <c r="D48" s="13" t="str">
        <f aca="false">IF($A48="","",SUMPRODUCT((配課表!$D$2:$U$41=$A48)*節數矩陣!$D$2:$U$41))</f>
        <v/>
      </c>
      <c r="E48" s="13" t="str">
        <f aca="false">IF($A48="","",IF($C48="","",$C48-$D48))</f>
        <v/>
      </c>
      <c r="F48" s="13" t="str">
        <f aca="false">IF($A48="","",IF($C48="","角色未填",IF($E48=0,"✓",IF($E48&gt;0,"⚠尚缺"&amp;$E48&amp;"節","⚠超授"&amp;ABS($E48)&amp;"節"))))</f>
        <v/>
      </c>
    </row>
    <row r="49" customFormat="false" ht="15" hidden="false" customHeight="true" outlineLevel="0" collapsed="false">
      <c r="A49" s="13" t="str">
        <f aca="false">IF(教師名冊!A49="","",教師名冊!A49)</f>
        <v/>
      </c>
      <c r="B49" s="13" t="str">
        <f aca="false">IF(教師名冊!A49="","",教師名冊!B49)</f>
        <v/>
      </c>
      <c r="C49" s="13" t="str">
        <f aca="false">IF(教師名冊!A49="","",教師名冊!E49)</f>
        <v/>
      </c>
      <c r="D49" s="13" t="str">
        <f aca="false">IF($A49="","",SUMPRODUCT((配課表!$D$2:$U$41=$A49)*節數矩陣!$D$2:$U$41))</f>
        <v/>
      </c>
      <c r="E49" s="13" t="str">
        <f aca="false">IF($A49="","",IF($C49="","",$C49-$D49))</f>
        <v/>
      </c>
      <c r="F49" s="13" t="str">
        <f aca="false">IF($A49="","",IF($C49="","角色未填",IF($E49=0,"✓",IF($E49&gt;0,"⚠尚缺"&amp;$E49&amp;"節","⚠超授"&amp;ABS($E49)&amp;"節"))))</f>
        <v/>
      </c>
    </row>
    <row r="50" customFormat="false" ht="15" hidden="false" customHeight="true" outlineLevel="0" collapsed="false">
      <c r="A50" s="13" t="str">
        <f aca="false">IF(教師名冊!A50="","",教師名冊!A50)</f>
        <v/>
      </c>
      <c r="B50" s="13" t="str">
        <f aca="false">IF(教師名冊!A50="","",教師名冊!B50)</f>
        <v/>
      </c>
      <c r="C50" s="13" t="str">
        <f aca="false">IF(教師名冊!A50="","",教師名冊!E50)</f>
        <v/>
      </c>
      <c r="D50" s="13" t="str">
        <f aca="false">IF($A50="","",SUMPRODUCT((配課表!$D$2:$U$41=$A50)*節數矩陣!$D$2:$U$41))</f>
        <v/>
      </c>
      <c r="E50" s="13" t="str">
        <f aca="false">IF($A50="","",IF($C50="","",$C50-$D50))</f>
        <v/>
      </c>
      <c r="F50" s="13" t="str">
        <f aca="false">IF($A50="","",IF($C50="","角色未填",IF($E50=0,"✓",IF($E50&gt;0,"⚠尚缺"&amp;$E50&amp;"節","⚠超授"&amp;ABS($E50)&amp;"節"))))</f>
        <v/>
      </c>
    </row>
    <row r="51" customFormat="false" ht="15" hidden="false" customHeight="true" outlineLevel="0" collapsed="false">
      <c r="A51" s="13" t="str">
        <f aca="false">IF(教師名冊!A51="","",教師名冊!A51)</f>
        <v/>
      </c>
      <c r="B51" s="13" t="str">
        <f aca="false">IF(教師名冊!A51="","",教師名冊!B51)</f>
        <v/>
      </c>
      <c r="C51" s="13" t="str">
        <f aca="false">IF(教師名冊!A51="","",教師名冊!E51)</f>
        <v/>
      </c>
      <c r="D51" s="13" t="str">
        <f aca="false">IF($A51="","",SUMPRODUCT((配課表!$D$2:$U$41=$A51)*節數矩陣!$D$2:$U$41))</f>
        <v/>
      </c>
      <c r="E51" s="13" t="str">
        <f aca="false">IF($A51="","",IF($C51="","",$C51-$D51))</f>
        <v/>
      </c>
      <c r="F51" s="13" t="str">
        <f aca="false">IF($A51="","",IF($C51="","角色未填",IF($E51=0,"✓",IF($E51&gt;0,"⚠尚缺"&amp;$E51&amp;"節","⚠超授"&amp;ABS($E51)&amp;"節"))))</f>
        <v/>
      </c>
    </row>
    <row r="52" customFormat="false" ht="15" hidden="false" customHeight="true" outlineLevel="0" collapsed="false">
      <c r="A52" s="13" t="str">
        <f aca="false">IF(教師名冊!A52="","",教師名冊!A52)</f>
        <v/>
      </c>
      <c r="B52" s="13" t="str">
        <f aca="false">IF(教師名冊!A52="","",教師名冊!B52)</f>
        <v/>
      </c>
      <c r="C52" s="13" t="str">
        <f aca="false">IF(教師名冊!A52="","",教師名冊!E52)</f>
        <v/>
      </c>
      <c r="D52" s="13" t="str">
        <f aca="false">IF($A52="","",SUMPRODUCT((配課表!$D$2:$U$41=$A52)*節數矩陣!$D$2:$U$41))</f>
        <v/>
      </c>
      <c r="E52" s="13" t="str">
        <f aca="false">IF($A52="","",IF($C52="","",$C52-$D52))</f>
        <v/>
      </c>
      <c r="F52" s="13" t="str">
        <f aca="false">IF($A52="","",IF($C52="","角色未填",IF($E52=0,"✓",IF($E52&gt;0,"⚠尚缺"&amp;$E52&amp;"節","⚠超授"&amp;ABS($E52)&amp;"節"))))</f>
        <v/>
      </c>
    </row>
    <row r="53" customFormat="false" ht="15" hidden="false" customHeight="true" outlineLevel="0" collapsed="false">
      <c r="A53" s="13" t="str">
        <f aca="false">IF(教師名冊!A53="","",教師名冊!A53)</f>
        <v/>
      </c>
      <c r="B53" s="13" t="str">
        <f aca="false">IF(教師名冊!A53="","",教師名冊!B53)</f>
        <v/>
      </c>
      <c r="C53" s="13" t="str">
        <f aca="false">IF(教師名冊!A53="","",教師名冊!E53)</f>
        <v/>
      </c>
      <c r="D53" s="13" t="str">
        <f aca="false">IF($A53="","",SUMPRODUCT((配課表!$D$2:$U$41=$A53)*節數矩陣!$D$2:$U$41))</f>
        <v/>
      </c>
      <c r="E53" s="13" t="str">
        <f aca="false">IF($A53="","",IF($C53="","",$C53-$D53))</f>
        <v/>
      </c>
      <c r="F53" s="13" t="str">
        <f aca="false">IF($A53="","",IF($C53="","角色未填",IF($E53=0,"✓",IF($E53&gt;0,"⚠尚缺"&amp;$E53&amp;"節","⚠超授"&amp;ABS($E53)&amp;"節"))))</f>
        <v/>
      </c>
    </row>
    <row r="54" customFormat="false" ht="15" hidden="false" customHeight="true" outlineLevel="0" collapsed="false">
      <c r="A54" s="13" t="str">
        <f aca="false">IF(教師名冊!A54="","",教師名冊!A54)</f>
        <v/>
      </c>
      <c r="B54" s="13" t="str">
        <f aca="false">IF(教師名冊!A54="","",教師名冊!B54)</f>
        <v/>
      </c>
      <c r="C54" s="13" t="str">
        <f aca="false">IF(教師名冊!A54="","",教師名冊!E54)</f>
        <v/>
      </c>
      <c r="D54" s="13" t="str">
        <f aca="false">IF($A54="","",SUMPRODUCT((配課表!$D$2:$U$41=$A54)*節數矩陣!$D$2:$U$41))</f>
        <v/>
      </c>
      <c r="E54" s="13" t="str">
        <f aca="false">IF($A54="","",IF($C54="","",$C54-$D54))</f>
        <v/>
      </c>
      <c r="F54" s="13" t="str">
        <f aca="false">IF($A54="","",IF($C54="","角色未填",IF($E54=0,"✓",IF($E54&gt;0,"⚠尚缺"&amp;$E54&amp;"節","⚠超授"&amp;ABS($E54)&amp;"節"))))</f>
        <v/>
      </c>
    </row>
    <row r="55" customFormat="false" ht="15" hidden="false" customHeight="true" outlineLevel="0" collapsed="false">
      <c r="A55" s="13" t="str">
        <f aca="false">IF(教師名冊!A55="","",教師名冊!A55)</f>
        <v/>
      </c>
      <c r="B55" s="13" t="str">
        <f aca="false">IF(教師名冊!A55="","",教師名冊!B55)</f>
        <v/>
      </c>
      <c r="C55" s="13" t="str">
        <f aca="false">IF(教師名冊!A55="","",教師名冊!E55)</f>
        <v/>
      </c>
      <c r="D55" s="13" t="str">
        <f aca="false">IF($A55="","",SUMPRODUCT((配課表!$D$2:$U$41=$A55)*節數矩陣!$D$2:$U$41))</f>
        <v/>
      </c>
      <c r="E55" s="13" t="str">
        <f aca="false">IF($A55="","",IF($C55="","",$C55-$D55))</f>
        <v/>
      </c>
      <c r="F55" s="13" t="str">
        <f aca="false">IF($A55="","",IF($C55="","角色未填",IF($E55=0,"✓",IF($E55&gt;0,"⚠尚缺"&amp;$E55&amp;"節","⚠超授"&amp;ABS($E55)&amp;"節"))))</f>
        <v/>
      </c>
    </row>
    <row r="56" customFormat="false" ht="15" hidden="false" customHeight="true" outlineLevel="0" collapsed="false">
      <c r="A56" s="13" t="str">
        <f aca="false">IF(教師名冊!A56="","",教師名冊!A56)</f>
        <v/>
      </c>
      <c r="B56" s="13" t="str">
        <f aca="false">IF(教師名冊!A56="","",教師名冊!B56)</f>
        <v/>
      </c>
      <c r="C56" s="13" t="str">
        <f aca="false">IF(教師名冊!A56="","",教師名冊!E56)</f>
        <v/>
      </c>
      <c r="D56" s="13" t="str">
        <f aca="false">IF($A56="","",SUMPRODUCT((配課表!$D$2:$U$41=$A56)*節數矩陣!$D$2:$U$41))</f>
        <v/>
      </c>
      <c r="E56" s="13" t="str">
        <f aca="false">IF($A56="","",IF($C56="","",$C56-$D56))</f>
        <v/>
      </c>
      <c r="F56" s="13" t="str">
        <f aca="false">IF($A56="","",IF($C56="","角色未填",IF($E56=0,"✓",IF($E56&gt;0,"⚠尚缺"&amp;$E56&amp;"節","⚠超授"&amp;ABS($E56)&amp;"節"))))</f>
        <v/>
      </c>
    </row>
    <row r="57" customFormat="false" ht="15" hidden="false" customHeight="true" outlineLevel="0" collapsed="false">
      <c r="A57" s="13" t="str">
        <f aca="false">IF(教師名冊!A57="","",教師名冊!A57)</f>
        <v/>
      </c>
      <c r="B57" s="13" t="str">
        <f aca="false">IF(教師名冊!A57="","",教師名冊!B57)</f>
        <v/>
      </c>
      <c r="C57" s="13" t="str">
        <f aca="false">IF(教師名冊!A57="","",教師名冊!E57)</f>
        <v/>
      </c>
      <c r="D57" s="13" t="str">
        <f aca="false">IF($A57="","",SUMPRODUCT((配課表!$D$2:$U$41=$A57)*節數矩陣!$D$2:$U$41))</f>
        <v/>
      </c>
      <c r="E57" s="13" t="str">
        <f aca="false">IF($A57="","",IF($C57="","",$C57-$D57))</f>
        <v/>
      </c>
      <c r="F57" s="13" t="str">
        <f aca="false">IF($A57="","",IF($C57="","角色未填",IF($E57=0,"✓",IF($E57&gt;0,"⚠尚缺"&amp;$E57&amp;"節","⚠超授"&amp;ABS($E57)&amp;"節"))))</f>
        <v/>
      </c>
    </row>
    <row r="58" customFormat="false" ht="15" hidden="false" customHeight="true" outlineLevel="0" collapsed="false">
      <c r="A58" s="13" t="str">
        <f aca="false">IF(教師名冊!A58="","",教師名冊!A58)</f>
        <v/>
      </c>
      <c r="B58" s="13" t="str">
        <f aca="false">IF(教師名冊!A58="","",教師名冊!B58)</f>
        <v/>
      </c>
      <c r="C58" s="13" t="str">
        <f aca="false">IF(教師名冊!A58="","",教師名冊!E58)</f>
        <v/>
      </c>
      <c r="D58" s="13" t="str">
        <f aca="false">IF($A58="","",SUMPRODUCT((配課表!$D$2:$U$41=$A58)*節數矩陣!$D$2:$U$41))</f>
        <v/>
      </c>
      <c r="E58" s="13" t="str">
        <f aca="false">IF($A58="","",IF($C58="","",$C58-$D58))</f>
        <v/>
      </c>
      <c r="F58" s="13" t="str">
        <f aca="false">IF($A58="","",IF($C58="","角色未填",IF($E58=0,"✓",IF($E58&gt;0,"⚠尚缺"&amp;$E58&amp;"節","⚠超授"&amp;ABS($E58)&amp;"節"))))</f>
        <v/>
      </c>
    </row>
    <row r="59" customFormat="false" ht="15" hidden="false" customHeight="true" outlineLevel="0" collapsed="false">
      <c r="A59" s="13" t="str">
        <f aca="false">IF(教師名冊!A59="","",教師名冊!A59)</f>
        <v/>
      </c>
      <c r="B59" s="13" t="str">
        <f aca="false">IF(教師名冊!A59="","",教師名冊!B59)</f>
        <v/>
      </c>
      <c r="C59" s="13" t="str">
        <f aca="false">IF(教師名冊!A59="","",教師名冊!E59)</f>
        <v/>
      </c>
      <c r="D59" s="13" t="str">
        <f aca="false">IF($A59="","",SUMPRODUCT((配課表!$D$2:$U$41=$A59)*節數矩陣!$D$2:$U$41))</f>
        <v/>
      </c>
      <c r="E59" s="13" t="str">
        <f aca="false">IF($A59="","",IF($C59="","",$C59-$D59))</f>
        <v/>
      </c>
      <c r="F59" s="13" t="str">
        <f aca="false">IF($A59="","",IF($C59="","角色未填",IF($E59=0,"✓",IF($E59&gt;0,"⚠尚缺"&amp;$E59&amp;"節","⚠超授"&amp;ABS($E59)&amp;"節"))))</f>
        <v/>
      </c>
    </row>
    <row r="60" customFormat="false" ht="15" hidden="false" customHeight="true" outlineLevel="0" collapsed="false">
      <c r="A60" s="13" t="str">
        <f aca="false">IF(教師名冊!A60="","",教師名冊!A60)</f>
        <v/>
      </c>
      <c r="B60" s="13" t="str">
        <f aca="false">IF(教師名冊!A60="","",教師名冊!B60)</f>
        <v/>
      </c>
      <c r="C60" s="13" t="str">
        <f aca="false">IF(教師名冊!A60="","",教師名冊!E60)</f>
        <v/>
      </c>
      <c r="D60" s="13" t="str">
        <f aca="false">IF($A60="","",SUMPRODUCT((配課表!$D$2:$U$41=$A60)*節數矩陣!$D$2:$U$41))</f>
        <v/>
      </c>
      <c r="E60" s="13" t="str">
        <f aca="false">IF($A60="","",IF($C60="","",$C60-$D60))</f>
        <v/>
      </c>
      <c r="F60" s="13" t="str">
        <f aca="false">IF($A60="","",IF($C60="","角色未填",IF($E60=0,"✓",IF($E60&gt;0,"⚠尚缺"&amp;$E60&amp;"節","⚠超授"&amp;ABS($E60)&amp;"節"))))</f>
        <v/>
      </c>
    </row>
    <row r="61" customFormat="false" ht="15" hidden="false" customHeight="true" outlineLevel="0" collapsed="false">
      <c r="A61" s="13" t="str">
        <f aca="false">IF(教師名冊!A61="","",教師名冊!A61)</f>
        <v/>
      </c>
      <c r="B61" s="13" t="str">
        <f aca="false">IF(教師名冊!A61="","",教師名冊!B61)</f>
        <v/>
      </c>
      <c r="C61" s="13" t="str">
        <f aca="false">IF(教師名冊!A61="","",教師名冊!E61)</f>
        <v/>
      </c>
      <c r="D61" s="13" t="str">
        <f aca="false">IF($A61="","",SUMPRODUCT((配課表!$D$2:$U$41=$A61)*節數矩陣!$D$2:$U$41))</f>
        <v/>
      </c>
      <c r="E61" s="13" t="str">
        <f aca="false">IF($A61="","",IF($C61="","",$C61-$D61))</f>
        <v/>
      </c>
      <c r="F61" s="13" t="str">
        <f aca="false">IF($A61="","",IF($C61="","角色未填",IF($E61=0,"✓",IF($E61&gt;0,"⚠尚缺"&amp;$E61&amp;"節","⚠超授"&amp;ABS($E61)&amp;"節"))))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</cols>
  <sheetData>
    <row r="1" customFormat="false" ht="15" hidden="false" customHeight="true" outlineLevel="0" collapsed="false">
      <c r="A1" s="9" t="s">
        <v>144</v>
      </c>
      <c r="B1" s="9" t="s">
        <v>380</v>
      </c>
    </row>
    <row r="2" customFormat="false" ht="15" hidden="false" customHeight="true" outlineLevel="0" collapsed="false">
      <c r="A2" s="22" t="s">
        <v>161</v>
      </c>
      <c r="B2" s="13" t="n">
        <f aca="false">SUMPRODUCT((配課表!D$2:D$41="待聘(鐘點)")*節數矩陣!D$2:D$41)</f>
        <v>0</v>
      </c>
    </row>
    <row r="3" customFormat="false" ht="15" hidden="false" customHeight="true" outlineLevel="0" collapsed="false">
      <c r="A3" s="22" t="s">
        <v>166</v>
      </c>
      <c r="B3" s="13" t="n">
        <f aca="false">SUMPRODUCT((配課表!E$2:E$41="待聘(鐘點)")*節數矩陣!E$2:E$41)</f>
        <v>0</v>
      </c>
    </row>
    <row r="4" customFormat="false" ht="15" hidden="false" customHeight="true" outlineLevel="0" collapsed="false">
      <c r="A4" s="22" t="s">
        <v>172</v>
      </c>
      <c r="B4" s="13" t="n">
        <f aca="false">SUMPRODUCT((配課表!F$2:F$41="待聘(鐘點)")*節數矩陣!F$2:F$41)</f>
        <v>0</v>
      </c>
    </row>
    <row r="5" customFormat="false" ht="15" hidden="false" customHeight="true" outlineLevel="0" collapsed="false">
      <c r="A5" s="22" t="s">
        <v>175</v>
      </c>
      <c r="B5" s="13" t="n">
        <f aca="false">SUMPRODUCT((配課表!G$2:G$41="待聘(鐘點)")*節數矩陣!G$2:G$41)</f>
        <v>0</v>
      </c>
    </row>
    <row r="6" customFormat="false" ht="15" hidden="false" customHeight="true" outlineLevel="0" collapsed="false">
      <c r="A6" s="22" t="s">
        <v>179</v>
      </c>
      <c r="B6" s="13" t="n">
        <f aca="false">SUMPRODUCT((配課表!H$2:H$41="待聘(鐘點)")*節數矩陣!H$2:H$41)</f>
        <v>0</v>
      </c>
    </row>
    <row r="7" customFormat="false" ht="15" hidden="false" customHeight="true" outlineLevel="0" collapsed="false">
      <c r="A7" s="22" t="s">
        <v>183</v>
      </c>
      <c r="B7" s="13" t="n">
        <f aca="false">SUMPRODUCT((配課表!I$2:I$41="待聘(鐘點)")*節數矩陣!I$2:I$41)</f>
        <v>0</v>
      </c>
    </row>
    <row r="8" customFormat="false" ht="15" hidden="false" customHeight="true" outlineLevel="0" collapsed="false">
      <c r="A8" s="22" t="s">
        <v>186</v>
      </c>
      <c r="B8" s="13" t="n">
        <f aca="false">SUMPRODUCT((配課表!J$2:J$41="待聘(鐘點)")*節數矩陣!J$2:J$41)</f>
        <v>0</v>
      </c>
    </row>
    <row r="9" customFormat="false" ht="15" hidden="false" customHeight="true" outlineLevel="0" collapsed="false">
      <c r="A9" s="22" t="s">
        <v>192</v>
      </c>
      <c r="B9" s="13" t="n">
        <f aca="false">SUMPRODUCT((配課表!K$2:K$41="待聘(鐘點)")*節數矩陣!K$2:K$41)</f>
        <v>0</v>
      </c>
    </row>
    <row r="10" customFormat="false" ht="15" hidden="false" customHeight="true" outlineLevel="0" collapsed="false">
      <c r="A10" s="22" t="s">
        <v>197</v>
      </c>
      <c r="B10" s="13" t="n">
        <f aca="false">SUMPRODUCT((配課表!L$2:L$41="待聘(鐘點)")*節數矩陣!L$2:L$41)</f>
        <v>0</v>
      </c>
    </row>
    <row r="11" customFormat="false" ht="15" hidden="false" customHeight="true" outlineLevel="0" collapsed="false">
      <c r="A11" s="22" t="s">
        <v>201</v>
      </c>
      <c r="B11" s="13" t="n">
        <f aca="false">SUMPRODUCT((配課表!M$2:M$41="待聘(鐘點)")*節數矩陣!M$2:M$41)</f>
        <v>0</v>
      </c>
    </row>
    <row r="12" customFormat="false" ht="15" hidden="false" customHeight="true" outlineLevel="0" collapsed="false">
      <c r="A12" s="22" t="s">
        <v>204</v>
      </c>
      <c r="B12" s="13" t="n">
        <f aca="false">SUMPRODUCT((配課表!N$2:N$41="待聘(鐘點)")*節數矩陣!N$2:N$41)</f>
        <v>0</v>
      </c>
    </row>
    <row r="13" customFormat="false" ht="15" hidden="false" customHeight="true" outlineLevel="0" collapsed="false">
      <c r="A13" s="22" t="s">
        <v>208</v>
      </c>
      <c r="B13" s="13" t="n">
        <f aca="false">SUMPRODUCT((配課表!O$2:O$41="待聘(鐘點)")*節數矩陣!O$2:O$41)</f>
        <v>0</v>
      </c>
    </row>
    <row r="14" customFormat="false" ht="15" hidden="false" customHeight="true" outlineLevel="0" collapsed="false">
      <c r="A14" s="22" t="s">
        <v>212</v>
      </c>
      <c r="B14" s="13" t="n">
        <f aca="false">SUMPRODUCT((配課表!P$2:P$41="待聘(鐘點)")*節數矩陣!P$2:P$41)</f>
        <v>0</v>
      </c>
    </row>
    <row r="15" customFormat="false" ht="15" hidden="false" customHeight="true" outlineLevel="0" collapsed="false">
      <c r="A15" s="22" t="s">
        <v>218</v>
      </c>
      <c r="B15" s="13" t="n">
        <f aca="false">SUMPRODUCT((配課表!Q$2:Q$41="待聘(鐘點)")*節數矩陣!Q$2:Q$41)</f>
        <v>0</v>
      </c>
    </row>
    <row r="16" customFormat="false" ht="15" hidden="false" customHeight="true" outlineLevel="0" collapsed="false">
      <c r="A16" s="22" t="s">
        <v>221</v>
      </c>
      <c r="B16" s="13" t="n">
        <f aca="false">SUMPRODUCT((配課表!R$2:R$41="待聘(鐘點)")*節數矩陣!R$2:R$41)</f>
        <v>0</v>
      </c>
    </row>
    <row r="17" customFormat="false" ht="15" hidden="false" customHeight="true" outlineLevel="0" collapsed="false">
      <c r="A17" s="22" t="s">
        <v>224</v>
      </c>
      <c r="B17" s="13" t="n">
        <f aca="false">SUMPRODUCT((配課表!S$2:S$41="待聘(鐘點)")*節數矩陣!S$2:S$41)</f>
        <v>0</v>
      </c>
    </row>
    <row r="18" customFormat="false" ht="15" hidden="false" customHeight="true" outlineLevel="0" collapsed="false">
      <c r="A18" s="22" t="s">
        <v>227</v>
      </c>
      <c r="B18" s="13" t="n">
        <f aca="false">SUMPRODUCT((配課表!T$2:T$41="待聘(鐘點)")*節數矩陣!T$2:T$41)</f>
        <v>0</v>
      </c>
    </row>
    <row r="19" customFormat="false" ht="15" hidden="false" customHeight="true" outlineLevel="0" collapsed="false">
      <c r="A19" s="22" t="s">
        <v>230</v>
      </c>
      <c r="B19" s="13" t="n">
        <f aca="false">SUMPRODUCT((配課表!U$2:U$41="待聘(鐘點)")*節數矩陣!U$2:U$41)</f>
        <v>0</v>
      </c>
    </row>
    <row r="20" customFormat="false" ht="15" hidden="false" customHeight="true" outlineLevel="0" collapsed="false">
      <c r="A20" s="19" t="s">
        <v>104</v>
      </c>
      <c r="B20" s="19" t="n">
        <f aca="false">SUM(B2:B19)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21" min="4" style="1" width="7"/>
    <col collapsed="false" customWidth="true" hidden="false" outlineLevel="0" max="22" min="22" style="1" width="9"/>
  </cols>
  <sheetData>
    <row r="1" customFormat="false" ht="57.75" hidden="false" customHeight="true" outlineLevel="0" collapsed="false">
      <c r="A1" s="9" t="s">
        <v>362</v>
      </c>
      <c r="B1" s="9" t="s">
        <v>68</v>
      </c>
      <c r="C1" s="9" t="s">
        <v>164</v>
      </c>
      <c r="D1" s="9" t="s">
        <v>161</v>
      </c>
      <c r="E1" s="9" t="s">
        <v>166</v>
      </c>
      <c r="F1" s="9" t="s">
        <v>172</v>
      </c>
      <c r="G1" s="9" t="s">
        <v>175</v>
      </c>
      <c r="H1" s="9" t="s">
        <v>179</v>
      </c>
      <c r="I1" s="9" t="s">
        <v>183</v>
      </c>
      <c r="J1" s="9" t="s">
        <v>186</v>
      </c>
      <c r="K1" s="9" t="s">
        <v>192</v>
      </c>
      <c r="L1" s="9" t="s">
        <v>197</v>
      </c>
      <c r="M1" s="9" t="s">
        <v>201</v>
      </c>
      <c r="N1" s="9" t="s">
        <v>204</v>
      </c>
      <c r="O1" s="9" t="s">
        <v>208</v>
      </c>
      <c r="P1" s="9" t="s">
        <v>212</v>
      </c>
      <c r="Q1" s="9" t="s">
        <v>218</v>
      </c>
      <c r="R1" s="9" t="s">
        <v>221</v>
      </c>
      <c r="S1" s="9" t="s">
        <v>224</v>
      </c>
      <c r="T1" s="9" t="s">
        <v>227</v>
      </c>
      <c r="U1" s="9" t="s">
        <v>230</v>
      </c>
      <c r="V1" s="9" t="s">
        <v>381</v>
      </c>
      <c r="Y1" s="9" t="s">
        <v>382</v>
      </c>
    </row>
    <row r="2" customFormat="false" ht="15" hidden="false" customHeight="true" outlineLevel="0" collapsed="false">
      <c r="A2" s="13" t="str">
        <f aca="false">IF(班級基本資料!A2="","",班級基本資料!A2)</f>
        <v>1甲</v>
      </c>
      <c r="B2" s="13" t="n">
        <f aca="false">IF(班級基本資料!A2="","",班級基本資料!B2)</f>
        <v>1</v>
      </c>
      <c r="C2" s="13" t="str">
        <f aca="false">IF(班級基本資料!A2="","",班級基本資料!C2)</f>
        <v>王導師</v>
      </c>
      <c r="D2" s="13" t="str">
        <f aca="false">IF($A2="","",IF(AND(節數矩陣!D2&gt;0,配課表!D2=""),"⚠",""))</f>
        <v/>
      </c>
      <c r="E2" s="13" t="str">
        <f aca="false">IF($A2="","",IF(AND(節數矩陣!E2&gt;0,配課表!E2=""),"⚠",""))</f>
        <v>⚠</v>
      </c>
      <c r="F2" s="13" t="str">
        <f aca="false">IF($A2="","",IF(AND(節數矩陣!F2&gt;0,配課表!F2=""),"⚠",""))</f>
        <v/>
      </c>
      <c r="G2" s="13" t="str">
        <f aca="false">IF($A2="","",IF(AND(節數矩陣!G2&gt;0,配課表!G2=""),"⚠",""))</f>
        <v/>
      </c>
      <c r="H2" s="13" t="str">
        <f aca="false">IF($A2="","",IF(AND(節數矩陣!H2&gt;0,配課表!H2=""),"⚠",""))</f>
        <v/>
      </c>
      <c r="I2" s="13" t="str">
        <f aca="false">IF($A2="","",IF(AND(節數矩陣!I2&gt;0,配課表!I2=""),"⚠",""))</f>
        <v/>
      </c>
      <c r="J2" s="13" t="str">
        <f aca="false">IF($A2="","",IF(AND(節數矩陣!J2&gt;0,配課表!J2=""),"⚠",""))</f>
        <v/>
      </c>
      <c r="K2" s="13" t="str">
        <f aca="false">IF($A2="","",IF(AND(節數矩陣!K2&gt;0,配課表!K2=""),"⚠",""))</f>
        <v>⚠</v>
      </c>
      <c r="L2" s="13" t="str">
        <f aca="false">IF($A2="","",IF(AND(節數矩陣!L2&gt;0,配課表!L2=""),"⚠",""))</f>
        <v/>
      </c>
      <c r="M2" s="13" t="str">
        <f aca="false">IF($A2="","",IF(AND(節數矩陣!M2&gt;0,配課表!M2=""),"⚠",""))</f>
        <v/>
      </c>
      <c r="N2" s="13" t="str">
        <f aca="false">IF($A2="","",IF(AND(節數矩陣!N2&gt;0,配課表!N2=""),"⚠",""))</f>
        <v>⚠</v>
      </c>
      <c r="O2" s="13" t="str">
        <f aca="false">IF($A2="","",IF(AND(節數矩陣!O2&gt;0,配課表!O2=""),"⚠",""))</f>
        <v>⚠</v>
      </c>
      <c r="P2" s="13" t="str">
        <f aca="false">IF($A2="","",IF(AND(節數矩陣!P2&gt;0,配課表!P2=""),"⚠",""))</f>
        <v/>
      </c>
      <c r="Q2" s="13" t="str">
        <f aca="false">IF($A2="","",IF(AND(節數矩陣!Q2&gt;0,配課表!Q2=""),"⚠",""))</f>
        <v>⚠</v>
      </c>
      <c r="R2" s="13" t="str">
        <f aca="false">IF($A2="","",IF(AND(節數矩陣!R2&gt;0,配課表!R2=""),"⚠",""))</f>
        <v/>
      </c>
      <c r="S2" s="13" t="str">
        <f aca="false">IF($A2="","",IF(AND(節數矩陣!S2&gt;0,配課表!S2=""),"⚠",""))</f>
        <v/>
      </c>
      <c r="T2" s="13" t="str">
        <f aca="false">IF($A2="","",IF(AND(節數矩陣!T2&gt;0,配課表!T2=""),"⚠",""))</f>
        <v/>
      </c>
      <c r="U2" s="13" t="str">
        <f aca="false">IF($A2="","",IF(AND(節數矩陣!U2&gt;0,配課表!U2=""),"⚠",""))</f>
        <v/>
      </c>
      <c r="V2" s="13" t="n">
        <f aca="false">IF($A2="",0,SUMPRODUCT((節數矩陣!$D2:$U2&gt;0)*(配課表!$D2:$U2="")*節數矩陣!$D2:$U2))</f>
        <v>6</v>
      </c>
    </row>
    <row r="3" customFormat="false" ht="15" hidden="false" customHeight="true" outlineLevel="0" collapsed="false">
      <c r="A3" s="13" t="str">
        <f aca="false">IF(班級基本資料!A3="","",班級基本資料!A3)</f>
        <v/>
      </c>
      <c r="B3" s="13" t="str">
        <f aca="false">IF(班級基本資料!A3="","",班級基本資料!B3)</f>
        <v/>
      </c>
      <c r="C3" s="13" t="str">
        <f aca="false">IF(班級基本資料!A3="","",班級基本資料!C3)</f>
        <v/>
      </c>
      <c r="D3" s="13" t="str">
        <f aca="false">IF($A3="","",IF(AND(節數矩陣!D3&gt;0,配課表!D3=""),"⚠",""))</f>
        <v/>
      </c>
      <c r="E3" s="13" t="str">
        <f aca="false">IF($A3="","",IF(AND(節數矩陣!E3&gt;0,配課表!E3=""),"⚠",""))</f>
        <v/>
      </c>
      <c r="F3" s="13" t="str">
        <f aca="false">IF($A3="","",IF(AND(節數矩陣!F3&gt;0,配課表!F3=""),"⚠",""))</f>
        <v/>
      </c>
      <c r="G3" s="13" t="str">
        <f aca="false">IF($A3="","",IF(AND(節數矩陣!G3&gt;0,配課表!G3=""),"⚠",""))</f>
        <v/>
      </c>
      <c r="H3" s="13" t="str">
        <f aca="false">IF($A3="","",IF(AND(節數矩陣!H3&gt;0,配課表!H3=""),"⚠",""))</f>
        <v/>
      </c>
      <c r="I3" s="13" t="str">
        <f aca="false">IF($A3="","",IF(AND(節數矩陣!I3&gt;0,配課表!I3=""),"⚠",""))</f>
        <v/>
      </c>
      <c r="J3" s="13" t="str">
        <f aca="false">IF($A3="","",IF(AND(節數矩陣!J3&gt;0,配課表!J3=""),"⚠",""))</f>
        <v/>
      </c>
      <c r="K3" s="13" t="str">
        <f aca="false">IF($A3="","",IF(AND(節數矩陣!K3&gt;0,配課表!K3=""),"⚠",""))</f>
        <v/>
      </c>
      <c r="L3" s="13" t="str">
        <f aca="false">IF($A3="","",IF(AND(節數矩陣!L3&gt;0,配課表!L3=""),"⚠",""))</f>
        <v/>
      </c>
      <c r="M3" s="13" t="str">
        <f aca="false">IF($A3="","",IF(AND(節數矩陣!M3&gt;0,配課表!M3=""),"⚠",""))</f>
        <v/>
      </c>
      <c r="N3" s="13" t="str">
        <f aca="false">IF($A3="","",IF(AND(節數矩陣!N3&gt;0,配課表!N3=""),"⚠",""))</f>
        <v/>
      </c>
      <c r="O3" s="13" t="str">
        <f aca="false">IF($A3="","",IF(AND(節數矩陣!O3&gt;0,配課表!O3=""),"⚠",""))</f>
        <v/>
      </c>
      <c r="P3" s="13" t="str">
        <f aca="false">IF($A3="","",IF(AND(節數矩陣!P3&gt;0,配課表!P3=""),"⚠",""))</f>
        <v/>
      </c>
      <c r="Q3" s="13" t="str">
        <f aca="false">IF($A3="","",IF(AND(節數矩陣!Q3&gt;0,配課表!Q3=""),"⚠",""))</f>
        <v/>
      </c>
      <c r="R3" s="13" t="str">
        <f aca="false">IF($A3="","",IF(AND(節數矩陣!R3&gt;0,配課表!R3=""),"⚠",""))</f>
        <v/>
      </c>
      <c r="S3" s="13" t="str">
        <f aca="false">IF($A3="","",IF(AND(節數矩陣!S3&gt;0,配課表!S3=""),"⚠",""))</f>
        <v/>
      </c>
      <c r="T3" s="13" t="str">
        <f aca="false">IF($A3="","",IF(AND(節數矩陣!T3&gt;0,配課表!T3=""),"⚠",""))</f>
        <v/>
      </c>
      <c r="U3" s="13" t="str">
        <f aca="false">IF($A3="","",IF(AND(節數矩陣!U3&gt;0,配課表!U3=""),"⚠",""))</f>
        <v/>
      </c>
      <c r="V3" s="13" t="n">
        <f aca="false">IF($A3="",0,SUMPRODUCT((節數矩陣!$D3:$U3&gt;0)*(配課表!$D3:$U3="")*節數矩陣!$D3:$U3))</f>
        <v>0</v>
      </c>
    </row>
    <row r="4" customFormat="false" ht="15" hidden="false" customHeight="true" outlineLevel="0" collapsed="false">
      <c r="A4" s="13" t="str">
        <f aca="false">IF(班級基本資料!A4="","",班級基本資料!A4)</f>
        <v/>
      </c>
      <c r="B4" s="13" t="str">
        <f aca="false">IF(班級基本資料!A4="","",班級基本資料!B4)</f>
        <v/>
      </c>
      <c r="C4" s="13" t="str">
        <f aca="false">IF(班級基本資料!A4="","",班級基本資料!C4)</f>
        <v/>
      </c>
      <c r="D4" s="13" t="str">
        <f aca="false">IF($A4="","",IF(AND(節數矩陣!D4&gt;0,配課表!D4=""),"⚠",""))</f>
        <v/>
      </c>
      <c r="E4" s="13" t="str">
        <f aca="false">IF($A4="","",IF(AND(節數矩陣!E4&gt;0,配課表!E4=""),"⚠",""))</f>
        <v/>
      </c>
      <c r="F4" s="13" t="str">
        <f aca="false">IF($A4="","",IF(AND(節數矩陣!F4&gt;0,配課表!F4=""),"⚠",""))</f>
        <v/>
      </c>
      <c r="G4" s="13" t="str">
        <f aca="false">IF($A4="","",IF(AND(節數矩陣!G4&gt;0,配課表!G4=""),"⚠",""))</f>
        <v/>
      </c>
      <c r="H4" s="13" t="str">
        <f aca="false">IF($A4="","",IF(AND(節數矩陣!H4&gt;0,配課表!H4=""),"⚠",""))</f>
        <v/>
      </c>
      <c r="I4" s="13" t="str">
        <f aca="false">IF($A4="","",IF(AND(節數矩陣!I4&gt;0,配課表!I4=""),"⚠",""))</f>
        <v/>
      </c>
      <c r="J4" s="13" t="str">
        <f aca="false">IF($A4="","",IF(AND(節數矩陣!J4&gt;0,配課表!J4=""),"⚠",""))</f>
        <v/>
      </c>
      <c r="K4" s="13" t="str">
        <f aca="false">IF($A4="","",IF(AND(節數矩陣!K4&gt;0,配課表!K4=""),"⚠",""))</f>
        <v/>
      </c>
      <c r="L4" s="13" t="str">
        <f aca="false">IF($A4="","",IF(AND(節數矩陣!L4&gt;0,配課表!L4=""),"⚠",""))</f>
        <v/>
      </c>
      <c r="M4" s="13" t="str">
        <f aca="false">IF($A4="","",IF(AND(節數矩陣!M4&gt;0,配課表!M4=""),"⚠",""))</f>
        <v/>
      </c>
      <c r="N4" s="13" t="str">
        <f aca="false">IF($A4="","",IF(AND(節數矩陣!N4&gt;0,配課表!N4=""),"⚠",""))</f>
        <v/>
      </c>
      <c r="O4" s="13" t="str">
        <f aca="false">IF($A4="","",IF(AND(節數矩陣!O4&gt;0,配課表!O4=""),"⚠",""))</f>
        <v/>
      </c>
      <c r="P4" s="13" t="str">
        <f aca="false">IF($A4="","",IF(AND(節數矩陣!P4&gt;0,配課表!P4=""),"⚠",""))</f>
        <v/>
      </c>
      <c r="Q4" s="13" t="str">
        <f aca="false">IF($A4="","",IF(AND(節數矩陣!Q4&gt;0,配課表!Q4=""),"⚠",""))</f>
        <v/>
      </c>
      <c r="R4" s="13" t="str">
        <f aca="false">IF($A4="","",IF(AND(節數矩陣!R4&gt;0,配課表!R4=""),"⚠",""))</f>
        <v/>
      </c>
      <c r="S4" s="13" t="str">
        <f aca="false">IF($A4="","",IF(AND(節數矩陣!S4&gt;0,配課表!S4=""),"⚠",""))</f>
        <v/>
      </c>
      <c r="T4" s="13" t="str">
        <f aca="false">IF($A4="","",IF(AND(節數矩陣!T4&gt;0,配課表!T4=""),"⚠",""))</f>
        <v/>
      </c>
      <c r="U4" s="13" t="str">
        <f aca="false">IF($A4="","",IF(AND(節數矩陣!U4&gt;0,配課表!U4=""),"⚠",""))</f>
        <v/>
      </c>
      <c r="V4" s="13" t="n">
        <f aca="false">IF($A4="",0,SUMPRODUCT((節數矩陣!$D4:$U4&gt;0)*(配課表!$D4:$U4="")*節數矩陣!$D4:$U4))</f>
        <v>0</v>
      </c>
    </row>
    <row r="5" customFormat="false" ht="15" hidden="false" customHeight="true" outlineLevel="0" collapsed="false">
      <c r="A5" s="13" t="str">
        <f aca="false">IF(班級基本資料!A5="","",班級基本資料!A5)</f>
        <v/>
      </c>
      <c r="B5" s="13" t="str">
        <f aca="false">IF(班級基本資料!A5="","",班級基本資料!B5)</f>
        <v/>
      </c>
      <c r="C5" s="13" t="str">
        <f aca="false">IF(班級基本資料!A5="","",班級基本資料!C5)</f>
        <v/>
      </c>
      <c r="D5" s="13" t="str">
        <f aca="false">IF($A5="","",IF(AND(節數矩陣!D5&gt;0,配課表!D5=""),"⚠",""))</f>
        <v/>
      </c>
      <c r="E5" s="13" t="str">
        <f aca="false">IF($A5="","",IF(AND(節數矩陣!E5&gt;0,配課表!E5=""),"⚠",""))</f>
        <v/>
      </c>
      <c r="F5" s="13" t="str">
        <f aca="false">IF($A5="","",IF(AND(節數矩陣!F5&gt;0,配課表!F5=""),"⚠",""))</f>
        <v/>
      </c>
      <c r="G5" s="13" t="str">
        <f aca="false">IF($A5="","",IF(AND(節數矩陣!G5&gt;0,配課表!G5=""),"⚠",""))</f>
        <v/>
      </c>
      <c r="H5" s="13" t="str">
        <f aca="false">IF($A5="","",IF(AND(節數矩陣!H5&gt;0,配課表!H5=""),"⚠",""))</f>
        <v/>
      </c>
      <c r="I5" s="13" t="str">
        <f aca="false">IF($A5="","",IF(AND(節數矩陣!I5&gt;0,配課表!I5=""),"⚠",""))</f>
        <v/>
      </c>
      <c r="J5" s="13" t="str">
        <f aca="false">IF($A5="","",IF(AND(節數矩陣!J5&gt;0,配課表!J5=""),"⚠",""))</f>
        <v/>
      </c>
      <c r="K5" s="13" t="str">
        <f aca="false">IF($A5="","",IF(AND(節數矩陣!K5&gt;0,配課表!K5=""),"⚠",""))</f>
        <v/>
      </c>
      <c r="L5" s="13" t="str">
        <f aca="false">IF($A5="","",IF(AND(節數矩陣!L5&gt;0,配課表!L5=""),"⚠",""))</f>
        <v/>
      </c>
      <c r="M5" s="13" t="str">
        <f aca="false">IF($A5="","",IF(AND(節數矩陣!M5&gt;0,配課表!M5=""),"⚠",""))</f>
        <v/>
      </c>
      <c r="N5" s="13" t="str">
        <f aca="false">IF($A5="","",IF(AND(節數矩陣!N5&gt;0,配課表!N5=""),"⚠",""))</f>
        <v/>
      </c>
      <c r="O5" s="13" t="str">
        <f aca="false">IF($A5="","",IF(AND(節數矩陣!O5&gt;0,配課表!O5=""),"⚠",""))</f>
        <v/>
      </c>
      <c r="P5" s="13" t="str">
        <f aca="false">IF($A5="","",IF(AND(節數矩陣!P5&gt;0,配課表!P5=""),"⚠",""))</f>
        <v/>
      </c>
      <c r="Q5" s="13" t="str">
        <f aca="false">IF($A5="","",IF(AND(節數矩陣!Q5&gt;0,配課表!Q5=""),"⚠",""))</f>
        <v/>
      </c>
      <c r="R5" s="13" t="str">
        <f aca="false">IF($A5="","",IF(AND(節數矩陣!R5&gt;0,配課表!R5=""),"⚠",""))</f>
        <v/>
      </c>
      <c r="S5" s="13" t="str">
        <f aca="false">IF($A5="","",IF(AND(節數矩陣!S5&gt;0,配課表!S5=""),"⚠",""))</f>
        <v/>
      </c>
      <c r="T5" s="13" t="str">
        <f aca="false">IF($A5="","",IF(AND(節數矩陣!T5&gt;0,配課表!T5=""),"⚠",""))</f>
        <v/>
      </c>
      <c r="U5" s="13" t="str">
        <f aca="false">IF($A5="","",IF(AND(節數矩陣!U5&gt;0,配課表!U5=""),"⚠",""))</f>
        <v/>
      </c>
      <c r="V5" s="13" t="n">
        <f aca="false">IF($A5="",0,SUMPRODUCT((節數矩陣!$D5:$U5&gt;0)*(配課表!$D5:$U5="")*節數矩陣!$D5:$U5))</f>
        <v>0</v>
      </c>
    </row>
    <row r="6" customFormat="false" ht="15" hidden="false" customHeight="true" outlineLevel="0" collapsed="false">
      <c r="A6" s="13" t="str">
        <f aca="false">IF(班級基本資料!A6="","",班級基本資料!A6)</f>
        <v/>
      </c>
      <c r="B6" s="13" t="str">
        <f aca="false">IF(班級基本資料!A6="","",班級基本資料!B6)</f>
        <v/>
      </c>
      <c r="C6" s="13" t="str">
        <f aca="false">IF(班級基本資料!A6="","",班級基本資料!C6)</f>
        <v/>
      </c>
      <c r="D6" s="13" t="str">
        <f aca="false">IF($A6="","",IF(AND(節數矩陣!D6&gt;0,配課表!D6=""),"⚠",""))</f>
        <v/>
      </c>
      <c r="E6" s="13" t="str">
        <f aca="false">IF($A6="","",IF(AND(節數矩陣!E6&gt;0,配課表!E6=""),"⚠",""))</f>
        <v/>
      </c>
      <c r="F6" s="13" t="str">
        <f aca="false">IF($A6="","",IF(AND(節數矩陣!F6&gt;0,配課表!F6=""),"⚠",""))</f>
        <v/>
      </c>
      <c r="G6" s="13" t="str">
        <f aca="false">IF($A6="","",IF(AND(節數矩陣!G6&gt;0,配課表!G6=""),"⚠",""))</f>
        <v/>
      </c>
      <c r="H6" s="13" t="str">
        <f aca="false">IF($A6="","",IF(AND(節數矩陣!H6&gt;0,配課表!H6=""),"⚠",""))</f>
        <v/>
      </c>
      <c r="I6" s="13" t="str">
        <f aca="false">IF($A6="","",IF(AND(節數矩陣!I6&gt;0,配課表!I6=""),"⚠",""))</f>
        <v/>
      </c>
      <c r="J6" s="13" t="str">
        <f aca="false">IF($A6="","",IF(AND(節數矩陣!J6&gt;0,配課表!J6=""),"⚠",""))</f>
        <v/>
      </c>
      <c r="K6" s="13" t="str">
        <f aca="false">IF($A6="","",IF(AND(節數矩陣!K6&gt;0,配課表!K6=""),"⚠",""))</f>
        <v/>
      </c>
      <c r="L6" s="13" t="str">
        <f aca="false">IF($A6="","",IF(AND(節數矩陣!L6&gt;0,配課表!L6=""),"⚠",""))</f>
        <v/>
      </c>
      <c r="M6" s="13" t="str">
        <f aca="false">IF($A6="","",IF(AND(節數矩陣!M6&gt;0,配課表!M6=""),"⚠",""))</f>
        <v/>
      </c>
      <c r="N6" s="13" t="str">
        <f aca="false">IF($A6="","",IF(AND(節數矩陣!N6&gt;0,配課表!N6=""),"⚠",""))</f>
        <v/>
      </c>
      <c r="O6" s="13" t="str">
        <f aca="false">IF($A6="","",IF(AND(節數矩陣!O6&gt;0,配課表!O6=""),"⚠",""))</f>
        <v/>
      </c>
      <c r="P6" s="13" t="str">
        <f aca="false">IF($A6="","",IF(AND(節數矩陣!P6&gt;0,配課表!P6=""),"⚠",""))</f>
        <v/>
      </c>
      <c r="Q6" s="13" t="str">
        <f aca="false">IF($A6="","",IF(AND(節數矩陣!Q6&gt;0,配課表!Q6=""),"⚠",""))</f>
        <v/>
      </c>
      <c r="R6" s="13" t="str">
        <f aca="false">IF($A6="","",IF(AND(節數矩陣!R6&gt;0,配課表!R6=""),"⚠",""))</f>
        <v/>
      </c>
      <c r="S6" s="13" t="str">
        <f aca="false">IF($A6="","",IF(AND(節數矩陣!S6&gt;0,配課表!S6=""),"⚠",""))</f>
        <v/>
      </c>
      <c r="T6" s="13" t="str">
        <f aca="false">IF($A6="","",IF(AND(節數矩陣!T6&gt;0,配課表!T6=""),"⚠",""))</f>
        <v/>
      </c>
      <c r="U6" s="13" t="str">
        <f aca="false">IF($A6="","",IF(AND(節數矩陣!U6&gt;0,配課表!U6=""),"⚠",""))</f>
        <v/>
      </c>
      <c r="V6" s="13" t="n">
        <f aca="false">IF($A6="",0,SUMPRODUCT((節數矩陣!$D6:$U6&gt;0)*(配課表!$D6:$U6="")*節數矩陣!$D6:$U6))</f>
        <v>0</v>
      </c>
    </row>
    <row r="7" customFormat="false" ht="15" hidden="false" customHeight="true" outlineLevel="0" collapsed="false">
      <c r="A7" s="13" t="str">
        <f aca="false">IF(班級基本資料!A7="","",班級基本資料!A7)</f>
        <v/>
      </c>
      <c r="B7" s="13" t="str">
        <f aca="false">IF(班級基本資料!A7="","",班級基本資料!B7)</f>
        <v/>
      </c>
      <c r="C7" s="13" t="str">
        <f aca="false">IF(班級基本資料!A7="","",班級基本資料!C7)</f>
        <v/>
      </c>
      <c r="D7" s="13" t="str">
        <f aca="false">IF($A7="","",IF(AND(節數矩陣!D7&gt;0,配課表!D7=""),"⚠",""))</f>
        <v/>
      </c>
      <c r="E7" s="13" t="str">
        <f aca="false">IF($A7="","",IF(AND(節數矩陣!E7&gt;0,配課表!E7=""),"⚠",""))</f>
        <v/>
      </c>
      <c r="F7" s="13" t="str">
        <f aca="false">IF($A7="","",IF(AND(節數矩陣!F7&gt;0,配課表!F7=""),"⚠",""))</f>
        <v/>
      </c>
      <c r="G7" s="13" t="str">
        <f aca="false">IF($A7="","",IF(AND(節數矩陣!G7&gt;0,配課表!G7=""),"⚠",""))</f>
        <v/>
      </c>
      <c r="H7" s="13" t="str">
        <f aca="false">IF($A7="","",IF(AND(節數矩陣!H7&gt;0,配課表!H7=""),"⚠",""))</f>
        <v/>
      </c>
      <c r="I7" s="13" t="str">
        <f aca="false">IF($A7="","",IF(AND(節數矩陣!I7&gt;0,配課表!I7=""),"⚠",""))</f>
        <v/>
      </c>
      <c r="J7" s="13" t="str">
        <f aca="false">IF($A7="","",IF(AND(節數矩陣!J7&gt;0,配課表!J7=""),"⚠",""))</f>
        <v/>
      </c>
      <c r="K7" s="13" t="str">
        <f aca="false">IF($A7="","",IF(AND(節數矩陣!K7&gt;0,配課表!K7=""),"⚠",""))</f>
        <v/>
      </c>
      <c r="L7" s="13" t="str">
        <f aca="false">IF($A7="","",IF(AND(節數矩陣!L7&gt;0,配課表!L7=""),"⚠",""))</f>
        <v/>
      </c>
      <c r="M7" s="13" t="str">
        <f aca="false">IF($A7="","",IF(AND(節數矩陣!M7&gt;0,配課表!M7=""),"⚠",""))</f>
        <v/>
      </c>
      <c r="N7" s="13" t="str">
        <f aca="false">IF($A7="","",IF(AND(節數矩陣!N7&gt;0,配課表!N7=""),"⚠",""))</f>
        <v/>
      </c>
      <c r="O7" s="13" t="str">
        <f aca="false">IF($A7="","",IF(AND(節數矩陣!O7&gt;0,配課表!O7=""),"⚠",""))</f>
        <v/>
      </c>
      <c r="P7" s="13" t="str">
        <f aca="false">IF($A7="","",IF(AND(節數矩陣!P7&gt;0,配課表!P7=""),"⚠",""))</f>
        <v/>
      </c>
      <c r="Q7" s="13" t="str">
        <f aca="false">IF($A7="","",IF(AND(節數矩陣!Q7&gt;0,配課表!Q7=""),"⚠",""))</f>
        <v/>
      </c>
      <c r="R7" s="13" t="str">
        <f aca="false">IF($A7="","",IF(AND(節數矩陣!R7&gt;0,配課表!R7=""),"⚠",""))</f>
        <v/>
      </c>
      <c r="S7" s="13" t="str">
        <f aca="false">IF($A7="","",IF(AND(節數矩陣!S7&gt;0,配課表!S7=""),"⚠",""))</f>
        <v/>
      </c>
      <c r="T7" s="13" t="str">
        <f aca="false">IF($A7="","",IF(AND(節數矩陣!T7&gt;0,配課表!T7=""),"⚠",""))</f>
        <v/>
      </c>
      <c r="U7" s="13" t="str">
        <f aca="false">IF($A7="","",IF(AND(節數矩陣!U7&gt;0,配課表!U7=""),"⚠",""))</f>
        <v/>
      </c>
      <c r="V7" s="13" t="n">
        <f aca="false">IF($A7="",0,SUMPRODUCT((節數矩陣!$D7:$U7&gt;0)*(配課表!$D7:$U7="")*節數矩陣!$D7:$U7))</f>
        <v>0</v>
      </c>
    </row>
    <row r="8" customFormat="false" ht="15" hidden="false" customHeight="true" outlineLevel="0" collapsed="false">
      <c r="A8" s="13" t="str">
        <f aca="false">IF(班級基本資料!A8="","",班級基本資料!A8)</f>
        <v/>
      </c>
      <c r="B8" s="13" t="str">
        <f aca="false">IF(班級基本資料!A8="","",班級基本資料!B8)</f>
        <v/>
      </c>
      <c r="C8" s="13" t="str">
        <f aca="false">IF(班級基本資料!A8="","",班級基本資料!C8)</f>
        <v/>
      </c>
      <c r="D8" s="13" t="str">
        <f aca="false">IF($A8="","",IF(AND(節數矩陣!D8&gt;0,配課表!D8=""),"⚠",""))</f>
        <v/>
      </c>
      <c r="E8" s="13" t="str">
        <f aca="false">IF($A8="","",IF(AND(節數矩陣!E8&gt;0,配課表!E8=""),"⚠",""))</f>
        <v/>
      </c>
      <c r="F8" s="13" t="str">
        <f aca="false">IF($A8="","",IF(AND(節數矩陣!F8&gt;0,配課表!F8=""),"⚠",""))</f>
        <v/>
      </c>
      <c r="G8" s="13" t="str">
        <f aca="false">IF($A8="","",IF(AND(節數矩陣!G8&gt;0,配課表!G8=""),"⚠",""))</f>
        <v/>
      </c>
      <c r="H8" s="13" t="str">
        <f aca="false">IF($A8="","",IF(AND(節數矩陣!H8&gt;0,配課表!H8=""),"⚠",""))</f>
        <v/>
      </c>
      <c r="I8" s="13" t="str">
        <f aca="false">IF($A8="","",IF(AND(節數矩陣!I8&gt;0,配課表!I8=""),"⚠",""))</f>
        <v/>
      </c>
      <c r="J8" s="13" t="str">
        <f aca="false">IF($A8="","",IF(AND(節數矩陣!J8&gt;0,配課表!J8=""),"⚠",""))</f>
        <v/>
      </c>
      <c r="K8" s="13" t="str">
        <f aca="false">IF($A8="","",IF(AND(節數矩陣!K8&gt;0,配課表!K8=""),"⚠",""))</f>
        <v/>
      </c>
      <c r="L8" s="13" t="str">
        <f aca="false">IF($A8="","",IF(AND(節數矩陣!L8&gt;0,配課表!L8=""),"⚠",""))</f>
        <v/>
      </c>
      <c r="M8" s="13" t="str">
        <f aca="false">IF($A8="","",IF(AND(節數矩陣!M8&gt;0,配課表!M8=""),"⚠",""))</f>
        <v/>
      </c>
      <c r="N8" s="13" t="str">
        <f aca="false">IF($A8="","",IF(AND(節數矩陣!N8&gt;0,配課表!N8=""),"⚠",""))</f>
        <v/>
      </c>
      <c r="O8" s="13" t="str">
        <f aca="false">IF($A8="","",IF(AND(節數矩陣!O8&gt;0,配課表!O8=""),"⚠",""))</f>
        <v/>
      </c>
      <c r="P8" s="13" t="str">
        <f aca="false">IF($A8="","",IF(AND(節數矩陣!P8&gt;0,配課表!P8=""),"⚠",""))</f>
        <v/>
      </c>
      <c r="Q8" s="13" t="str">
        <f aca="false">IF($A8="","",IF(AND(節數矩陣!Q8&gt;0,配課表!Q8=""),"⚠",""))</f>
        <v/>
      </c>
      <c r="R8" s="13" t="str">
        <f aca="false">IF($A8="","",IF(AND(節數矩陣!R8&gt;0,配課表!R8=""),"⚠",""))</f>
        <v/>
      </c>
      <c r="S8" s="13" t="str">
        <f aca="false">IF($A8="","",IF(AND(節數矩陣!S8&gt;0,配課表!S8=""),"⚠",""))</f>
        <v/>
      </c>
      <c r="T8" s="13" t="str">
        <f aca="false">IF($A8="","",IF(AND(節數矩陣!T8&gt;0,配課表!T8=""),"⚠",""))</f>
        <v/>
      </c>
      <c r="U8" s="13" t="str">
        <f aca="false">IF($A8="","",IF(AND(節數矩陣!U8&gt;0,配課表!U8=""),"⚠",""))</f>
        <v/>
      </c>
      <c r="V8" s="13" t="n">
        <f aca="false">IF($A8="",0,SUMPRODUCT((節數矩陣!$D8:$U8&gt;0)*(配課表!$D8:$U8="")*節數矩陣!$D8:$U8))</f>
        <v>0</v>
      </c>
    </row>
    <row r="9" customFormat="false" ht="15" hidden="false" customHeight="true" outlineLevel="0" collapsed="false">
      <c r="A9" s="13" t="str">
        <f aca="false">IF(班級基本資料!A9="","",班級基本資料!A9)</f>
        <v/>
      </c>
      <c r="B9" s="13" t="str">
        <f aca="false">IF(班級基本資料!A9="","",班級基本資料!B9)</f>
        <v/>
      </c>
      <c r="C9" s="13" t="str">
        <f aca="false">IF(班級基本資料!A9="","",班級基本資料!C9)</f>
        <v/>
      </c>
      <c r="D9" s="13" t="str">
        <f aca="false">IF($A9="","",IF(AND(節數矩陣!D9&gt;0,配課表!D9=""),"⚠",""))</f>
        <v/>
      </c>
      <c r="E9" s="13" t="str">
        <f aca="false">IF($A9="","",IF(AND(節數矩陣!E9&gt;0,配課表!E9=""),"⚠",""))</f>
        <v/>
      </c>
      <c r="F9" s="13" t="str">
        <f aca="false">IF($A9="","",IF(AND(節數矩陣!F9&gt;0,配課表!F9=""),"⚠",""))</f>
        <v/>
      </c>
      <c r="G9" s="13" t="str">
        <f aca="false">IF($A9="","",IF(AND(節數矩陣!G9&gt;0,配課表!G9=""),"⚠",""))</f>
        <v/>
      </c>
      <c r="H9" s="13" t="str">
        <f aca="false">IF($A9="","",IF(AND(節數矩陣!H9&gt;0,配課表!H9=""),"⚠",""))</f>
        <v/>
      </c>
      <c r="I9" s="13" t="str">
        <f aca="false">IF($A9="","",IF(AND(節數矩陣!I9&gt;0,配課表!I9=""),"⚠",""))</f>
        <v/>
      </c>
      <c r="J9" s="13" t="str">
        <f aca="false">IF($A9="","",IF(AND(節數矩陣!J9&gt;0,配課表!J9=""),"⚠",""))</f>
        <v/>
      </c>
      <c r="K9" s="13" t="str">
        <f aca="false">IF($A9="","",IF(AND(節數矩陣!K9&gt;0,配課表!K9=""),"⚠",""))</f>
        <v/>
      </c>
      <c r="L9" s="13" t="str">
        <f aca="false">IF($A9="","",IF(AND(節數矩陣!L9&gt;0,配課表!L9=""),"⚠",""))</f>
        <v/>
      </c>
      <c r="M9" s="13" t="str">
        <f aca="false">IF($A9="","",IF(AND(節數矩陣!M9&gt;0,配課表!M9=""),"⚠",""))</f>
        <v/>
      </c>
      <c r="N9" s="13" t="str">
        <f aca="false">IF($A9="","",IF(AND(節數矩陣!N9&gt;0,配課表!N9=""),"⚠",""))</f>
        <v/>
      </c>
      <c r="O9" s="13" t="str">
        <f aca="false">IF($A9="","",IF(AND(節數矩陣!O9&gt;0,配課表!O9=""),"⚠",""))</f>
        <v/>
      </c>
      <c r="P9" s="13" t="str">
        <f aca="false">IF($A9="","",IF(AND(節數矩陣!P9&gt;0,配課表!P9=""),"⚠",""))</f>
        <v/>
      </c>
      <c r="Q9" s="13" t="str">
        <f aca="false">IF($A9="","",IF(AND(節數矩陣!Q9&gt;0,配課表!Q9=""),"⚠",""))</f>
        <v/>
      </c>
      <c r="R9" s="13" t="str">
        <f aca="false">IF($A9="","",IF(AND(節數矩陣!R9&gt;0,配課表!R9=""),"⚠",""))</f>
        <v/>
      </c>
      <c r="S9" s="13" t="str">
        <f aca="false">IF($A9="","",IF(AND(節數矩陣!S9&gt;0,配課表!S9=""),"⚠",""))</f>
        <v/>
      </c>
      <c r="T9" s="13" t="str">
        <f aca="false">IF($A9="","",IF(AND(節數矩陣!T9&gt;0,配課表!T9=""),"⚠",""))</f>
        <v/>
      </c>
      <c r="U9" s="13" t="str">
        <f aca="false">IF($A9="","",IF(AND(節數矩陣!U9&gt;0,配課表!U9=""),"⚠",""))</f>
        <v/>
      </c>
      <c r="V9" s="13" t="n">
        <f aca="false">IF($A9="",0,SUMPRODUCT((節數矩陣!$D9:$U9&gt;0)*(配課表!$D9:$U9="")*節數矩陣!$D9:$U9))</f>
        <v>0</v>
      </c>
    </row>
    <row r="10" customFormat="false" ht="15" hidden="false" customHeight="true" outlineLevel="0" collapsed="false">
      <c r="A10" s="13" t="str">
        <f aca="false">IF(班級基本資料!A10="","",班級基本資料!A10)</f>
        <v/>
      </c>
      <c r="B10" s="13" t="str">
        <f aca="false">IF(班級基本資料!A10="","",班級基本資料!B10)</f>
        <v/>
      </c>
      <c r="C10" s="13" t="str">
        <f aca="false">IF(班級基本資料!A10="","",班級基本資料!C10)</f>
        <v/>
      </c>
      <c r="D10" s="13" t="str">
        <f aca="false">IF($A10="","",IF(AND(節數矩陣!D10&gt;0,配課表!D10=""),"⚠",""))</f>
        <v/>
      </c>
      <c r="E10" s="13" t="str">
        <f aca="false">IF($A10="","",IF(AND(節數矩陣!E10&gt;0,配課表!E10=""),"⚠",""))</f>
        <v/>
      </c>
      <c r="F10" s="13" t="str">
        <f aca="false">IF($A10="","",IF(AND(節數矩陣!F10&gt;0,配課表!F10=""),"⚠",""))</f>
        <v/>
      </c>
      <c r="G10" s="13" t="str">
        <f aca="false">IF($A10="","",IF(AND(節數矩陣!G10&gt;0,配課表!G10=""),"⚠",""))</f>
        <v/>
      </c>
      <c r="H10" s="13" t="str">
        <f aca="false">IF($A10="","",IF(AND(節數矩陣!H10&gt;0,配課表!H10=""),"⚠",""))</f>
        <v/>
      </c>
      <c r="I10" s="13" t="str">
        <f aca="false">IF($A10="","",IF(AND(節數矩陣!I10&gt;0,配課表!I10=""),"⚠",""))</f>
        <v/>
      </c>
      <c r="J10" s="13" t="str">
        <f aca="false">IF($A10="","",IF(AND(節數矩陣!J10&gt;0,配課表!J10=""),"⚠",""))</f>
        <v/>
      </c>
      <c r="K10" s="13" t="str">
        <f aca="false">IF($A10="","",IF(AND(節數矩陣!K10&gt;0,配課表!K10=""),"⚠",""))</f>
        <v/>
      </c>
      <c r="L10" s="13" t="str">
        <f aca="false">IF($A10="","",IF(AND(節數矩陣!L10&gt;0,配課表!L10=""),"⚠",""))</f>
        <v/>
      </c>
      <c r="M10" s="13" t="str">
        <f aca="false">IF($A10="","",IF(AND(節數矩陣!M10&gt;0,配課表!M10=""),"⚠",""))</f>
        <v/>
      </c>
      <c r="N10" s="13" t="str">
        <f aca="false">IF($A10="","",IF(AND(節數矩陣!N10&gt;0,配課表!N10=""),"⚠",""))</f>
        <v/>
      </c>
      <c r="O10" s="13" t="str">
        <f aca="false">IF($A10="","",IF(AND(節數矩陣!O10&gt;0,配課表!O10=""),"⚠",""))</f>
        <v/>
      </c>
      <c r="P10" s="13" t="str">
        <f aca="false">IF($A10="","",IF(AND(節數矩陣!P10&gt;0,配課表!P10=""),"⚠",""))</f>
        <v/>
      </c>
      <c r="Q10" s="13" t="str">
        <f aca="false">IF($A10="","",IF(AND(節數矩陣!Q10&gt;0,配課表!Q10=""),"⚠",""))</f>
        <v/>
      </c>
      <c r="R10" s="13" t="str">
        <f aca="false">IF($A10="","",IF(AND(節數矩陣!R10&gt;0,配課表!R10=""),"⚠",""))</f>
        <v/>
      </c>
      <c r="S10" s="13" t="str">
        <f aca="false">IF($A10="","",IF(AND(節數矩陣!S10&gt;0,配課表!S10=""),"⚠",""))</f>
        <v/>
      </c>
      <c r="T10" s="13" t="str">
        <f aca="false">IF($A10="","",IF(AND(節數矩陣!T10&gt;0,配課表!T10=""),"⚠",""))</f>
        <v/>
      </c>
      <c r="U10" s="13" t="str">
        <f aca="false">IF($A10="","",IF(AND(節數矩陣!U10&gt;0,配課表!U10=""),"⚠",""))</f>
        <v/>
      </c>
      <c r="V10" s="13" t="n">
        <f aca="false">IF($A10="",0,SUMPRODUCT((節數矩陣!$D10:$U10&gt;0)*(配課表!$D10:$U10="")*節數矩陣!$D10:$U10))</f>
        <v>0</v>
      </c>
    </row>
    <row r="11" customFormat="false" ht="15" hidden="false" customHeight="true" outlineLevel="0" collapsed="false">
      <c r="A11" s="13" t="str">
        <f aca="false">IF(班級基本資料!A11="","",班級基本資料!A11)</f>
        <v/>
      </c>
      <c r="B11" s="13" t="str">
        <f aca="false">IF(班級基本資料!A11="","",班級基本資料!B11)</f>
        <v/>
      </c>
      <c r="C11" s="13" t="str">
        <f aca="false">IF(班級基本資料!A11="","",班級基本資料!C11)</f>
        <v/>
      </c>
      <c r="D11" s="13" t="str">
        <f aca="false">IF($A11="","",IF(AND(節數矩陣!D11&gt;0,配課表!D11=""),"⚠",""))</f>
        <v/>
      </c>
      <c r="E11" s="13" t="str">
        <f aca="false">IF($A11="","",IF(AND(節數矩陣!E11&gt;0,配課表!E11=""),"⚠",""))</f>
        <v/>
      </c>
      <c r="F11" s="13" t="str">
        <f aca="false">IF($A11="","",IF(AND(節數矩陣!F11&gt;0,配課表!F11=""),"⚠",""))</f>
        <v/>
      </c>
      <c r="G11" s="13" t="str">
        <f aca="false">IF($A11="","",IF(AND(節數矩陣!G11&gt;0,配課表!G11=""),"⚠",""))</f>
        <v/>
      </c>
      <c r="H11" s="13" t="str">
        <f aca="false">IF($A11="","",IF(AND(節數矩陣!H11&gt;0,配課表!H11=""),"⚠",""))</f>
        <v/>
      </c>
      <c r="I11" s="13" t="str">
        <f aca="false">IF($A11="","",IF(AND(節數矩陣!I11&gt;0,配課表!I11=""),"⚠",""))</f>
        <v/>
      </c>
      <c r="J11" s="13" t="str">
        <f aca="false">IF($A11="","",IF(AND(節數矩陣!J11&gt;0,配課表!J11=""),"⚠",""))</f>
        <v/>
      </c>
      <c r="K11" s="13" t="str">
        <f aca="false">IF($A11="","",IF(AND(節數矩陣!K11&gt;0,配課表!K11=""),"⚠",""))</f>
        <v/>
      </c>
      <c r="L11" s="13" t="str">
        <f aca="false">IF($A11="","",IF(AND(節數矩陣!L11&gt;0,配課表!L11=""),"⚠",""))</f>
        <v/>
      </c>
      <c r="M11" s="13" t="str">
        <f aca="false">IF($A11="","",IF(AND(節數矩陣!M11&gt;0,配課表!M11=""),"⚠",""))</f>
        <v/>
      </c>
      <c r="N11" s="13" t="str">
        <f aca="false">IF($A11="","",IF(AND(節數矩陣!N11&gt;0,配課表!N11=""),"⚠",""))</f>
        <v/>
      </c>
      <c r="O11" s="13" t="str">
        <f aca="false">IF($A11="","",IF(AND(節數矩陣!O11&gt;0,配課表!O11=""),"⚠",""))</f>
        <v/>
      </c>
      <c r="P11" s="13" t="str">
        <f aca="false">IF($A11="","",IF(AND(節數矩陣!P11&gt;0,配課表!P11=""),"⚠",""))</f>
        <v/>
      </c>
      <c r="Q11" s="13" t="str">
        <f aca="false">IF($A11="","",IF(AND(節數矩陣!Q11&gt;0,配課表!Q11=""),"⚠",""))</f>
        <v/>
      </c>
      <c r="R11" s="13" t="str">
        <f aca="false">IF($A11="","",IF(AND(節數矩陣!R11&gt;0,配課表!R11=""),"⚠",""))</f>
        <v/>
      </c>
      <c r="S11" s="13" t="str">
        <f aca="false">IF($A11="","",IF(AND(節數矩陣!S11&gt;0,配課表!S11=""),"⚠",""))</f>
        <v/>
      </c>
      <c r="T11" s="13" t="str">
        <f aca="false">IF($A11="","",IF(AND(節數矩陣!T11&gt;0,配課表!T11=""),"⚠",""))</f>
        <v/>
      </c>
      <c r="U11" s="13" t="str">
        <f aca="false">IF($A11="","",IF(AND(節數矩陣!U11&gt;0,配課表!U11=""),"⚠",""))</f>
        <v/>
      </c>
      <c r="V11" s="13" t="n">
        <f aca="false">IF($A11="",0,SUMPRODUCT((節數矩陣!$D11:$U11&gt;0)*(配課表!$D11:$U11="")*節數矩陣!$D11:$U11))</f>
        <v>0</v>
      </c>
    </row>
    <row r="12" customFormat="false" ht="15" hidden="false" customHeight="true" outlineLevel="0" collapsed="false">
      <c r="A12" s="13" t="str">
        <f aca="false">IF(班級基本資料!A12="","",班級基本資料!A12)</f>
        <v/>
      </c>
      <c r="B12" s="13" t="str">
        <f aca="false">IF(班級基本資料!A12="","",班級基本資料!B12)</f>
        <v/>
      </c>
      <c r="C12" s="13" t="str">
        <f aca="false">IF(班級基本資料!A12="","",班級基本資料!C12)</f>
        <v/>
      </c>
      <c r="D12" s="13" t="str">
        <f aca="false">IF($A12="","",IF(AND(節數矩陣!D12&gt;0,配課表!D12=""),"⚠",""))</f>
        <v/>
      </c>
      <c r="E12" s="13" t="str">
        <f aca="false">IF($A12="","",IF(AND(節數矩陣!E12&gt;0,配課表!E12=""),"⚠",""))</f>
        <v/>
      </c>
      <c r="F12" s="13" t="str">
        <f aca="false">IF($A12="","",IF(AND(節數矩陣!F12&gt;0,配課表!F12=""),"⚠",""))</f>
        <v/>
      </c>
      <c r="G12" s="13" t="str">
        <f aca="false">IF($A12="","",IF(AND(節數矩陣!G12&gt;0,配課表!G12=""),"⚠",""))</f>
        <v/>
      </c>
      <c r="H12" s="13" t="str">
        <f aca="false">IF($A12="","",IF(AND(節數矩陣!H12&gt;0,配課表!H12=""),"⚠",""))</f>
        <v/>
      </c>
      <c r="I12" s="13" t="str">
        <f aca="false">IF($A12="","",IF(AND(節數矩陣!I12&gt;0,配課表!I12=""),"⚠",""))</f>
        <v/>
      </c>
      <c r="J12" s="13" t="str">
        <f aca="false">IF($A12="","",IF(AND(節數矩陣!J12&gt;0,配課表!J12=""),"⚠",""))</f>
        <v/>
      </c>
      <c r="K12" s="13" t="str">
        <f aca="false">IF($A12="","",IF(AND(節數矩陣!K12&gt;0,配課表!K12=""),"⚠",""))</f>
        <v/>
      </c>
      <c r="L12" s="13" t="str">
        <f aca="false">IF($A12="","",IF(AND(節數矩陣!L12&gt;0,配課表!L12=""),"⚠",""))</f>
        <v/>
      </c>
      <c r="M12" s="13" t="str">
        <f aca="false">IF($A12="","",IF(AND(節數矩陣!M12&gt;0,配課表!M12=""),"⚠",""))</f>
        <v/>
      </c>
      <c r="N12" s="13" t="str">
        <f aca="false">IF($A12="","",IF(AND(節數矩陣!N12&gt;0,配課表!N12=""),"⚠",""))</f>
        <v/>
      </c>
      <c r="O12" s="13" t="str">
        <f aca="false">IF($A12="","",IF(AND(節數矩陣!O12&gt;0,配課表!O12=""),"⚠",""))</f>
        <v/>
      </c>
      <c r="P12" s="13" t="str">
        <f aca="false">IF($A12="","",IF(AND(節數矩陣!P12&gt;0,配課表!P12=""),"⚠",""))</f>
        <v/>
      </c>
      <c r="Q12" s="13" t="str">
        <f aca="false">IF($A12="","",IF(AND(節數矩陣!Q12&gt;0,配課表!Q12=""),"⚠",""))</f>
        <v/>
      </c>
      <c r="R12" s="13" t="str">
        <f aca="false">IF($A12="","",IF(AND(節數矩陣!R12&gt;0,配課表!R12=""),"⚠",""))</f>
        <v/>
      </c>
      <c r="S12" s="13" t="str">
        <f aca="false">IF($A12="","",IF(AND(節數矩陣!S12&gt;0,配課表!S12=""),"⚠",""))</f>
        <v/>
      </c>
      <c r="T12" s="13" t="str">
        <f aca="false">IF($A12="","",IF(AND(節數矩陣!T12&gt;0,配課表!T12=""),"⚠",""))</f>
        <v/>
      </c>
      <c r="U12" s="13" t="str">
        <f aca="false">IF($A12="","",IF(AND(節數矩陣!U12&gt;0,配課表!U12=""),"⚠",""))</f>
        <v/>
      </c>
      <c r="V12" s="13" t="n">
        <f aca="false">IF($A12="",0,SUMPRODUCT((節數矩陣!$D12:$U12&gt;0)*(配課表!$D12:$U12="")*節數矩陣!$D12:$U12))</f>
        <v>0</v>
      </c>
    </row>
    <row r="13" customFormat="false" ht="15" hidden="false" customHeight="true" outlineLevel="0" collapsed="false">
      <c r="A13" s="13" t="str">
        <f aca="false">IF(班級基本資料!A13="","",班級基本資料!A13)</f>
        <v/>
      </c>
      <c r="B13" s="13" t="str">
        <f aca="false">IF(班級基本資料!A13="","",班級基本資料!B13)</f>
        <v/>
      </c>
      <c r="C13" s="13" t="str">
        <f aca="false">IF(班級基本資料!A13="","",班級基本資料!C13)</f>
        <v/>
      </c>
      <c r="D13" s="13" t="str">
        <f aca="false">IF($A13="","",IF(AND(節數矩陣!D13&gt;0,配課表!D13=""),"⚠",""))</f>
        <v/>
      </c>
      <c r="E13" s="13" t="str">
        <f aca="false">IF($A13="","",IF(AND(節數矩陣!E13&gt;0,配課表!E13=""),"⚠",""))</f>
        <v/>
      </c>
      <c r="F13" s="13" t="str">
        <f aca="false">IF($A13="","",IF(AND(節數矩陣!F13&gt;0,配課表!F13=""),"⚠",""))</f>
        <v/>
      </c>
      <c r="G13" s="13" t="str">
        <f aca="false">IF($A13="","",IF(AND(節數矩陣!G13&gt;0,配課表!G13=""),"⚠",""))</f>
        <v/>
      </c>
      <c r="H13" s="13" t="str">
        <f aca="false">IF($A13="","",IF(AND(節數矩陣!H13&gt;0,配課表!H13=""),"⚠",""))</f>
        <v/>
      </c>
      <c r="I13" s="13" t="str">
        <f aca="false">IF($A13="","",IF(AND(節數矩陣!I13&gt;0,配課表!I13=""),"⚠",""))</f>
        <v/>
      </c>
      <c r="J13" s="13" t="str">
        <f aca="false">IF($A13="","",IF(AND(節數矩陣!J13&gt;0,配課表!J13=""),"⚠",""))</f>
        <v/>
      </c>
      <c r="K13" s="13" t="str">
        <f aca="false">IF($A13="","",IF(AND(節數矩陣!K13&gt;0,配課表!K13=""),"⚠",""))</f>
        <v/>
      </c>
      <c r="L13" s="13" t="str">
        <f aca="false">IF($A13="","",IF(AND(節數矩陣!L13&gt;0,配課表!L13=""),"⚠",""))</f>
        <v/>
      </c>
      <c r="M13" s="13" t="str">
        <f aca="false">IF($A13="","",IF(AND(節數矩陣!M13&gt;0,配課表!M13=""),"⚠",""))</f>
        <v/>
      </c>
      <c r="N13" s="13" t="str">
        <f aca="false">IF($A13="","",IF(AND(節數矩陣!N13&gt;0,配課表!N13=""),"⚠",""))</f>
        <v/>
      </c>
      <c r="O13" s="13" t="str">
        <f aca="false">IF($A13="","",IF(AND(節數矩陣!O13&gt;0,配課表!O13=""),"⚠",""))</f>
        <v/>
      </c>
      <c r="P13" s="13" t="str">
        <f aca="false">IF($A13="","",IF(AND(節數矩陣!P13&gt;0,配課表!P13=""),"⚠",""))</f>
        <v/>
      </c>
      <c r="Q13" s="13" t="str">
        <f aca="false">IF($A13="","",IF(AND(節數矩陣!Q13&gt;0,配課表!Q13=""),"⚠",""))</f>
        <v/>
      </c>
      <c r="R13" s="13" t="str">
        <f aca="false">IF($A13="","",IF(AND(節數矩陣!R13&gt;0,配課表!R13=""),"⚠",""))</f>
        <v/>
      </c>
      <c r="S13" s="13" t="str">
        <f aca="false">IF($A13="","",IF(AND(節數矩陣!S13&gt;0,配課表!S13=""),"⚠",""))</f>
        <v/>
      </c>
      <c r="T13" s="13" t="str">
        <f aca="false">IF($A13="","",IF(AND(節數矩陣!T13&gt;0,配課表!T13=""),"⚠",""))</f>
        <v/>
      </c>
      <c r="U13" s="13" t="str">
        <f aca="false">IF($A13="","",IF(AND(節數矩陣!U13&gt;0,配課表!U13=""),"⚠",""))</f>
        <v/>
      </c>
      <c r="V13" s="13" t="n">
        <f aca="false">IF($A13="",0,SUMPRODUCT((節數矩陣!$D13:$U13&gt;0)*(配課表!$D13:$U13="")*節數矩陣!$D13:$U13))</f>
        <v>0</v>
      </c>
    </row>
    <row r="14" customFormat="false" ht="15" hidden="false" customHeight="true" outlineLevel="0" collapsed="false">
      <c r="A14" s="13" t="str">
        <f aca="false">IF(班級基本資料!A14="","",班級基本資料!A14)</f>
        <v/>
      </c>
      <c r="B14" s="13" t="str">
        <f aca="false">IF(班級基本資料!A14="","",班級基本資料!B14)</f>
        <v/>
      </c>
      <c r="C14" s="13" t="str">
        <f aca="false">IF(班級基本資料!A14="","",班級基本資料!C14)</f>
        <v/>
      </c>
      <c r="D14" s="13" t="str">
        <f aca="false">IF($A14="","",IF(AND(節數矩陣!D14&gt;0,配課表!D14=""),"⚠",""))</f>
        <v/>
      </c>
      <c r="E14" s="13" t="str">
        <f aca="false">IF($A14="","",IF(AND(節數矩陣!E14&gt;0,配課表!E14=""),"⚠",""))</f>
        <v/>
      </c>
      <c r="F14" s="13" t="str">
        <f aca="false">IF($A14="","",IF(AND(節數矩陣!F14&gt;0,配課表!F14=""),"⚠",""))</f>
        <v/>
      </c>
      <c r="G14" s="13" t="str">
        <f aca="false">IF($A14="","",IF(AND(節數矩陣!G14&gt;0,配課表!G14=""),"⚠",""))</f>
        <v/>
      </c>
      <c r="H14" s="13" t="str">
        <f aca="false">IF($A14="","",IF(AND(節數矩陣!H14&gt;0,配課表!H14=""),"⚠",""))</f>
        <v/>
      </c>
      <c r="I14" s="13" t="str">
        <f aca="false">IF($A14="","",IF(AND(節數矩陣!I14&gt;0,配課表!I14=""),"⚠",""))</f>
        <v/>
      </c>
      <c r="J14" s="13" t="str">
        <f aca="false">IF($A14="","",IF(AND(節數矩陣!J14&gt;0,配課表!J14=""),"⚠",""))</f>
        <v/>
      </c>
      <c r="K14" s="13" t="str">
        <f aca="false">IF($A14="","",IF(AND(節數矩陣!K14&gt;0,配課表!K14=""),"⚠",""))</f>
        <v/>
      </c>
      <c r="L14" s="13" t="str">
        <f aca="false">IF($A14="","",IF(AND(節數矩陣!L14&gt;0,配課表!L14=""),"⚠",""))</f>
        <v/>
      </c>
      <c r="M14" s="13" t="str">
        <f aca="false">IF($A14="","",IF(AND(節數矩陣!M14&gt;0,配課表!M14=""),"⚠",""))</f>
        <v/>
      </c>
      <c r="N14" s="13" t="str">
        <f aca="false">IF($A14="","",IF(AND(節數矩陣!N14&gt;0,配課表!N14=""),"⚠",""))</f>
        <v/>
      </c>
      <c r="O14" s="13" t="str">
        <f aca="false">IF($A14="","",IF(AND(節數矩陣!O14&gt;0,配課表!O14=""),"⚠",""))</f>
        <v/>
      </c>
      <c r="P14" s="13" t="str">
        <f aca="false">IF($A14="","",IF(AND(節數矩陣!P14&gt;0,配課表!P14=""),"⚠",""))</f>
        <v/>
      </c>
      <c r="Q14" s="13" t="str">
        <f aca="false">IF($A14="","",IF(AND(節數矩陣!Q14&gt;0,配課表!Q14=""),"⚠",""))</f>
        <v/>
      </c>
      <c r="R14" s="13" t="str">
        <f aca="false">IF($A14="","",IF(AND(節數矩陣!R14&gt;0,配課表!R14=""),"⚠",""))</f>
        <v/>
      </c>
      <c r="S14" s="13" t="str">
        <f aca="false">IF($A14="","",IF(AND(節數矩陣!S14&gt;0,配課表!S14=""),"⚠",""))</f>
        <v/>
      </c>
      <c r="T14" s="13" t="str">
        <f aca="false">IF($A14="","",IF(AND(節數矩陣!T14&gt;0,配課表!T14=""),"⚠",""))</f>
        <v/>
      </c>
      <c r="U14" s="13" t="str">
        <f aca="false">IF($A14="","",IF(AND(節數矩陣!U14&gt;0,配課表!U14=""),"⚠",""))</f>
        <v/>
      </c>
      <c r="V14" s="13" t="n">
        <f aca="false">IF($A14="",0,SUMPRODUCT((節數矩陣!$D14:$U14&gt;0)*(配課表!$D14:$U14="")*節數矩陣!$D14:$U14))</f>
        <v>0</v>
      </c>
    </row>
    <row r="15" customFormat="false" ht="15" hidden="false" customHeight="true" outlineLevel="0" collapsed="false">
      <c r="A15" s="13" t="str">
        <f aca="false">IF(班級基本資料!A15="","",班級基本資料!A15)</f>
        <v/>
      </c>
      <c r="B15" s="13" t="str">
        <f aca="false">IF(班級基本資料!A15="","",班級基本資料!B15)</f>
        <v/>
      </c>
      <c r="C15" s="13" t="str">
        <f aca="false">IF(班級基本資料!A15="","",班級基本資料!C15)</f>
        <v/>
      </c>
      <c r="D15" s="13" t="str">
        <f aca="false">IF($A15="","",IF(AND(節數矩陣!D15&gt;0,配課表!D15=""),"⚠",""))</f>
        <v/>
      </c>
      <c r="E15" s="13" t="str">
        <f aca="false">IF($A15="","",IF(AND(節數矩陣!E15&gt;0,配課表!E15=""),"⚠",""))</f>
        <v/>
      </c>
      <c r="F15" s="13" t="str">
        <f aca="false">IF($A15="","",IF(AND(節數矩陣!F15&gt;0,配課表!F15=""),"⚠",""))</f>
        <v/>
      </c>
      <c r="G15" s="13" t="str">
        <f aca="false">IF($A15="","",IF(AND(節數矩陣!G15&gt;0,配課表!G15=""),"⚠",""))</f>
        <v/>
      </c>
      <c r="H15" s="13" t="str">
        <f aca="false">IF($A15="","",IF(AND(節數矩陣!H15&gt;0,配課表!H15=""),"⚠",""))</f>
        <v/>
      </c>
      <c r="I15" s="13" t="str">
        <f aca="false">IF($A15="","",IF(AND(節數矩陣!I15&gt;0,配課表!I15=""),"⚠",""))</f>
        <v/>
      </c>
      <c r="J15" s="13" t="str">
        <f aca="false">IF($A15="","",IF(AND(節數矩陣!J15&gt;0,配課表!J15=""),"⚠",""))</f>
        <v/>
      </c>
      <c r="K15" s="13" t="str">
        <f aca="false">IF($A15="","",IF(AND(節數矩陣!K15&gt;0,配課表!K15=""),"⚠",""))</f>
        <v/>
      </c>
      <c r="L15" s="13" t="str">
        <f aca="false">IF($A15="","",IF(AND(節數矩陣!L15&gt;0,配課表!L15=""),"⚠",""))</f>
        <v/>
      </c>
      <c r="M15" s="13" t="str">
        <f aca="false">IF($A15="","",IF(AND(節數矩陣!M15&gt;0,配課表!M15=""),"⚠",""))</f>
        <v/>
      </c>
      <c r="N15" s="13" t="str">
        <f aca="false">IF($A15="","",IF(AND(節數矩陣!N15&gt;0,配課表!N15=""),"⚠",""))</f>
        <v/>
      </c>
      <c r="O15" s="13" t="str">
        <f aca="false">IF($A15="","",IF(AND(節數矩陣!O15&gt;0,配課表!O15=""),"⚠",""))</f>
        <v/>
      </c>
      <c r="P15" s="13" t="str">
        <f aca="false">IF($A15="","",IF(AND(節數矩陣!P15&gt;0,配課表!P15=""),"⚠",""))</f>
        <v/>
      </c>
      <c r="Q15" s="13" t="str">
        <f aca="false">IF($A15="","",IF(AND(節數矩陣!Q15&gt;0,配課表!Q15=""),"⚠",""))</f>
        <v/>
      </c>
      <c r="R15" s="13" t="str">
        <f aca="false">IF($A15="","",IF(AND(節數矩陣!R15&gt;0,配課表!R15=""),"⚠",""))</f>
        <v/>
      </c>
      <c r="S15" s="13" t="str">
        <f aca="false">IF($A15="","",IF(AND(節數矩陣!S15&gt;0,配課表!S15=""),"⚠",""))</f>
        <v/>
      </c>
      <c r="T15" s="13" t="str">
        <f aca="false">IF($A15="","",IF(AND(節數矩陣!T15&gt;0,配課表!T15=""),"⚠",""))</f>
        <v/>
      </c>
      <c r="U15" s="13" t="str">
        <f aca="false">IF($A15="","",IF(AND(節數矩陣!U15&gt;0,配課表!U15=""),"⚠",""))</f>
        <v/>
      </c>
      <c r="V15" s="13" t="n">
        <f aca="false">IF($A15="",0,SUMPRODUCT((節數矩陣!$D15:$U15&gt;0)*(配課表!$D15:$U15="")*節數矩陣!$D15:$U15))</f>
        <v>0</v>
      </c>
    </row>
    <row r="16" customFormat="false" ht="15" hidden="false" customHeight="true" outlineLevel="0" collapsed="false">
      <c r="A16" s="13" t="str">
        <f aca="false">IF(班級基本資料!A16="","",班級基本資料!A16)</f>
        <v/>
      </c>
      <c r="B16" s="13" t="str">
        <f aca="false">IF(班級基本資料!A16="","",班級基本資料!B16)</f>
        <v/>
      </c>
      <c r="C16" s="13" t="str">
        <f aca="false">IF(班級基本資料!A16="","",班級基本資料!C16)</f>
        <v/>
      </c>
      <c r="D16" s="13" t="str">
        <f aca="false">IF($A16="","",IF(AND(節數矩陣!D16&gt;0,配課表!D16=""),"⚠",""))</f>
        <v/>
      </c>
      <c r="E16" s="13" t="str">
        <f aca="false">IF($A16="","",IF(AND(節數矩陣!E16&gt;0,配課表!E16=""),"⚠",""))</f>
        <v/>
      </c>
      <c r="F16" s="13" t="str">
        <f aca="false">IF($A16="","",IF(AND(節數矩陣!F16&gt;0,配課表!F16=""),"⚠",""))</f>
        <v/>
      </c>
      <c r="G16" s="13" t="str">
        <f aca="false">IF($A16="","",IF(AND(節數矩陣!G16&gt;0,配課表!G16=""),"⚠",""))</f>
        <v/>
      </c>
      <c r="H16" s="13" t="str">
        <f aca="false">IF($A16="","",IF(AND(節數矩陣!H16&gt;0,配課表!H16=""),"⚠",""))</f>
        <v/>
      </c>
      <c r="I16" s="13" t="str">
        <f aca="false">IF($A16="","",IF(AND(節數矩陣!I16&gt;0,配課表!I16=""),"⚠",""))</f>
        <v/>
      </c>
      <c r="J16" s="13" t="str">
        <f aca="false">IF($A16="","",IF(AND(節數矩陣!J16&gt;0,配課表!J16=""),"⚠",""))</f>
        <v/>
      </c>
      <c r="K16" s="13" t="str">
        <f aca="false">IF($A16="","",IF(AND(節數矩陣!K16&gt;0,配課表!K16=""),"⚠",""))</f>
        <v/>
      </c>
      <c r="L16" s="13" t="str">
        <f aca="false">IF($A16="","",IF(AND(節數矩陣!L16&gt;0,配課表!L16=""),"⚠",""))</f>
        <v/>
      </c>
      <c r="M16" s="13" t="str">
        <f aca="false">IF($A16="","",IF(AND(節數矩陣!M16&gt;0,配課表!M16=""),"⚠",""))</f>
        <v/>
      </c>
      <c r="N16" s="13" t="str">
        <f aca="false">IF($A16="","",IF(AND(節數矩陣!N16&gt;0,配課表!N16=""),"⚠",""))</f>
        <v/>
      </c>
      <c r="O16" s="13" t="str">
        <f aca="false">IF($A16="","",IF(AND(節數矩陣!O16&gt;0,配課表!O16=""),"⚠",""))</f>
        <v/>
      </c>
      <c r="P16" s="13" t="str">
        <f aca="false">IF($A16="","",IF(AND(節數矩陣!P16&gt;0,配課表!P16=""),"⚠",""))</f>
        <v/>
      </c>
      <c r="Q16" s="13" t="str">
        <f aca="false">IF($A16="","",IF(AND(節數矩陣!Q16&gt;0,配課表!Q16=""),"⚠",""))</f>
        <v/>
      </c>
      <c r="R16" s="13" t="str">
        <f aca="false">IF($A16="","",IF(AND(節數矩陣!R16&gt;0,配課表!R16=""),"⚠",""))</f>
        <v/>
      </c>
      <c r="S16" s="13" t="str">
        <f aca="false">IF($A16="","",IF(AND(節數矩陣!S16&gt;0,配課表!S16=""),"⚠",""))</f>
        <v/>
      </c>
      <c r="T16" s="13" t="str">
        <f aca="false">IF($A16="","",IF(AND(節數矩陣!T16&gt;0,配課表!T16=""),"⚠",""))</f>
        <v/>
      </c>
      <c r="U16" s="13" t="str">
        <f aca="false">IF($A16="","",IF(AND(節數矩陣!U16&gt;0,配課表!U16=""),"⚠",""))</f>
        <v/>
      </c>
      <c r="V16" s="13" t="n">
        <f aca="false">IF($A16="",0,SUMPRODUCT((節數矩陣!$D16:$U16&gt;0)*(配課表!$D16:$U16="")*節數矩陣!$D16:$U16))</f>
        <v>0</v>
      </c>
    </row>
    <row r="17" customFormat="false" ht="15" hidden="false" customHeight="true" outlineLevel="0" collapsed="false">
      <c r="A17" s="13" t="str">
        <f aca="false">IF(班級基本資料!A17="","",班級基本資料!A17)</f>
        <v/>
      </c>
      <c r="B17" s="13" t="str">
        <f aca="false">IF(班級基本資料!A17="","",班級基本資料!B17)</f>
        <v/>
      </c>
      <c r="C17" s="13" t="str">
        <f aca="false">IF(班級基本資料!A17="","",班級基本資料!C17)</f>
        <v/>
      </c>
      <c r="D17" s="13" t="str">
        <f aca="false">IF($A17="","",IF(AND(節數矩陣!D17&gt;0,配課表!D17=""),"⚠",""))</f>
        <v/>
      </c>
      <c r="E17" s="13" t="str">
        <f aca="false">IF($A17="","",IF(AND(節數矩陣!E17&gt;0,配課表!E17=""),"⚠",""))</f>
        <v/>
      </c>
      <c r="F17" s="13" t="str">
        <f aca="false">IF($A17="","",IF(AND(節數矩陣!F17&gt;0,配課表!F17=""),"⚠",""))</f>
        <v/>
      </c>
      <c r="G17" s="13" t="str">
        <f aca="false">IF($A17="","",IF(AND(節數矩陣!G17&gt;0,配課表!G17=""),"⚠",""))</f>
        <v/>
      </c>
      <c r="H17" s="13" t="str">
        <f aca="false">IF($A17="","",IF(AND(節數矩陣!H17&gt;0,配課表!H17=""),"⚠",""))</f>
        <v/>
      </c>
      <c r="I17" s="13" t="str">
        <f aca="false">IF($A17="","",IF(AND(節數矩陣!I17&gt;0,配課表!I17=""),"⚠",""))</f>
        <v/>
      </c>
      <c r="J17" s="13" t="str">
        <f aca="false">IF($A17="","",IF(AND(節數矩陣!J17&gt;0,配課表!J17=""),"⚠",""))</f>
        <v/>
      </c>
      <c r="K17" s="13" t="str">
        <f aca="false">IF($A17="","",IF(AND(節數矩陣!K17&gt;0,配課表!K17=""),"⚠",""))</f>
        <v/>
      </c>
      <c r="L17" s="13" t="str">
        <f aca="false">IF($A17="","",IF(AND(節數矩陣!L17&gt;0,配課表!L17=""),"⚠",""))</f>
        <v/>
      </c>
      <c r="M17" s="13" t="str">
        <f aca="false">IF($A17="","",IF(AND(節數矩陣!M17&gt;0,配課表!M17=""),"⚠",""))</f>
        <v/>
      </c>
      <c r="N17" s="13" t="str">
        <f aca="false">IF($A17="","",IF(AND(節數矩陣!N17&gt;0,配課表!N17=""),"⚠",""))</f>
        <v/>
      </c>
      <c r="O17" s="13" t="str">
        <f aca="false">IF($A17="","",IF(AND(節數矩陣!O17&gt;0,配課表!O17=""),"⚠",""))</f>
        <v/>
      </c>
      <c r="P17" s="13" t="str">
        <f aca="false">IF($A17="","",IF(AND(節數矩陣!P17&gt;0,配課表!P17=""),"⚠",""))</f>
        <v/>
      </c>
      <c r="Q17" s="13" t="str">
        <f aca="false">IF($A17="","",IF(AND(節數矩陣!Q17&gt;0,配課表!Q17=""),"⚠",""))</f>
        <v/>
      </c>
      <c r="R17" s="13" t="str">
        <f aca="false">IF($A17="","",IF(AND(節數矩陣!R17&gt;0,配課表!R17=""),"⚠",""))</f>
        <v/>
      </c>
      <c r="S17" s="13" t="str">
        <f aca="false">IF($A17="","",IF(AND(節數矩陣!S17&gt;0,配課表!S17=""),"⚠",""))</f>
        <v/>
      </c>
      <c r="T17" s="13" t="str">
        <f aca="false">IF($A17="","",IF(AND(節數矩陣!T17&gt;0,配課表!T17=""),"⚠",""))</f>
        <v/>
      </c>
      <c r="U17" s="13" t="str">
        <f aca="false">IF($A17="","",IF(AND(節數矩陣!U17&gt;0,配課表!U17=""),"⚠",""))</f>
        <v/>
      </c>
      <c r="V17" s="13" t="n">
        <f aca="false">IF($A17="",0,SUMPRODUCT((節數矩陣!$D17:$U17&gt;0)*(配課表!$D17:$U17="")*節數矩陣!$D17:$U17))</f>
        <v>0</v>
      </c>
    </row>
    <row r="18" customFormat="false" ht="15" hidden="false" customHeight="true" outlineLevel="0" collapsed="false">
      <c r="A18" s="13" t="str">
        <f aca="false">IF(班級基本資料!A18="","",班級基本資料!A18)</f>
        <v/>
      </c>
      <c r="B18" s="13" t="str">
        <f aca="false">IF(班級基本資料!A18="","",班級基本資料!B18)</f>
        <v/>
      </c>
      <c r="C18" s="13" t="str">
        <f aca="false">IF(班級基本資料!A18="","",班級基本資料!C18)</f>
        <v/>
      </c>
      <c r="D18" s="13" t="str">
        <f aca="false">IF($A18="","",IF(AND(節數矩陣!D18&gt;0,配課表!D18=""),"⚠",""))</f>
        <v/>
      </c>
      <c r="E18" s="13" t="str">
        <f aca="false">IF($A18="","",IF(AND(節數矩陣!E18&gt;0,配課表!E18=""),"⚠",""))</f>
        <v/>
      </c>
      <c r="F18" s="13" t="str">
        <f aca="false">IF($A18="","",IF(AND(節數矩陣!F18&gt;0,配課表!F18=""),"⚠",""))</f>
        <v/>
      </c>
      <c r="G18" s="13" t="str">
        <f aca="false">IF($A18="","",IF(AND(節數矩陣!G18&gt;0,配課表!G18=""),"⚠",""))</f>
        <v/>
      </c>
      <c r="H18" s="13" t="str">
        <f aca="false">IF($A18="","",IF(AND(節數矩陣!H18&gt;0,配課表!H18=""),"⚠",""))</f>
        <v/>
      </c>
      <c r="I18" s="13" t="str">
        <f aca="false">IF($A18="","",IF(AND(節數矩陣!I18&gt;0,配課表!I18=""),"⚠",""))</f>
        <v/>
      </c>
      <c r="J18" s="13" t="str">
        <f aca="false">IF($A18="","",IF(AND(節數矩陣!J18&gt;0,配課表!J18=""),"⚠",""))</f>
        <v/>
      </c>
      <c r="K18" s="13" t="str">
        <f aca="false">IF($A18="","",IF(AND(節數矩陣!K18&gt;0,配課表!K18=""),"⚠",""))</f>
        <v/>
      </c>
      <c r="L18" s="13" t="str">
        <f aca="false">IF($A18="","",IF(AND(節數矩陣!L18&gt;0,配課表!L18=""),"⚠",""))</f>
        <v/>
      </c>
      <c r="M18" s="13" t="str">
        <f aca="false">IF($A18="","",IF(AND(節數矩陣!M18&gt;0,配課表!M18=""),"⚠",""))</f>
        <v/>
      </c>
      <c r="N18" s="13" t="str">
        <f aca="false">IF($A18="","",IF(AND(節數矩陣!N18&gt;0,配課表!N18=""),"⚠",""))</f>
        <v/>
      </c>
      <c r="O18" s="13" t="str">
        <f aca="false">IF($A18="","",IF(AND(節數矩陣!O18&gt;0,配課表!O18=""),"⚠",""))</f>
        <v/>
      </c>
      <c r="P18" s="13" t="str">
        <f aca="false">IF($A18="","",IF(AND(節數矩陣!P18&gt;0,配課表!P18=""),"⚠",""))</f>
        <v/>
      </c>
      <c r="Q18" s="13" t="str">
        <f aca="false">IF($A18="","",IF(AND(節數矩陣!Q18&gt;0,配課表!Q18=""),"⚠",""))</f>
        <v/>
      </c>
      <c r="R18" s="13" t="str">
        <f aca="false">IF($A18="","",IF(AND(節數矩陣!R18&gt;0,配課表!R18=""),"⚠",""))</f>
        <v/>
      </c>
      <c r="S18" s="13" t="str">
        <f aca="false">IF($A18="","",IF(AND(節數矩陣!S18&gt;0,配課表!S18=""),"⚠",""))</f>
        <v/>
      </c>
      <c r="T18" s="13" t="str">
        <f aca="false">IF($A18="","",IF(AND(節數矩陣!T18&gt;0,配課表!T18=""),"⚠",""))</f>
        <v/>
      </c>
      <c r="U18" s="13" t="str">
        <f aca="false">IF($A18="","",IF(AND(節數矩陣!U18&gt;0,配課表!U18=""),"⚠",""))</f>
        <v/>
      </c>
      <c r="V18" s="13" t="n">
        <f aca="false">IF($A18="",0,SUMPRODUCT((節數矩陣!$D18:$U18&gt;0)*(配課表!$D18:$U18="")*節數矩陣!$D18:$U18))</f>
        <v>0</v>
      </c>
    </row>
    <row r="19" customFormat="false" ht="15" hidden="false" customHeight="true" outlineLevel="0" collapsed="false">
      <c r="A19" s="13" t="str">
        <f aca="false">IF(班級基本資料!A19="","",班級基本資料!A19)</f>
        <v/>
      </c>
      <c r="B19" s="13" t="str">
        <f aca="false">IF(班級基本資料!A19="","",班級基本資料!B19)</f>
        <v/>
      </c>
      <c r="C19" s="13" t="str">
        <f aca="false">IF(班級基本資料!A19="","",班級基本資料!C19)</f>
        <v/>
      </c>
      <c r="D19" s="13" t="str">
        <f aca="false">IF($A19="","",IF(AND(節數矩陣!D19&gt;0,配課表!D19=""),"⚠",""))</f>
        <v/>
      </c>
      <c r="E19" s="13" t="str">
        <f aca="false">IF($A19="","",IF(AND(節數矩陣!E19&gt;0,配課表!E19=""),"⚠",""))</f>
        <v/>
      </c>
      <c r="F19" s="13" t="str">
        <f aca="false">IF($A19="","",IF(AND(節數矩陣!F19&gt;0,配課表!F19=""),"⚠",""))</f>
        <v/>
      </c>
      <c r="G19" s="13" t="str">
        <f aca="false">IF($A19="","",IF(AND(節數矩陣!G19&gt;0,配課表!G19=""),"⚠",""))</f>
        <v/>
      </c>
      <c r="H19" s="13" t="str">
        <f aca="false">IF($A19="","",IF(AND(節數矩陣!H19&gt;0,配課表!H19=""),"⚠",""))</f>
        <v/>
      </c>
      <c r="I19" s="13" t="str">
        <f aca="false">IF($A19="","",IF(AND(節數矩陣!I19&gt;0,配課表!I19=""),"⚠",""))</f>
        <v/>
      </c>
      <c r="J19" s="13" t="str">
        <f aca="false">IF($A19="","",IF(AND(節數矩陣!J19&gt;0,配課表!J19=""),"⚠",""))</f>
        <v/>
      </c>
      <c r="K19" s="13" t="str">
        <f aca="false">IF($A19="","",IF(AND(節數矩陣!K19&gt;0,配課表!K19=""),"⚠",""))</f>
        <v/>
      </c>
      <c r="L19" s="13" t="str">
        <f aca="false">IF($A19="","",IF(AND(節數矩陣!L19&gt;0,配課表!L19=""),"⚠",""))</f>
        <v/>
      </c>
      <c r="M19" s="13" t="str">
        <f aca="false">IF($A19="","",IF(AND(節數矩陣!M19&gt;0,配課表!M19=""),"⚠",""))</f>
        <v/>
      </c>
      <c r="N19" s="13" t="str">
        <f aca="false">IF($A19="","",IF(AND(節數矩陣!N19&gt;0,配課表!N19=""),"⚠",""))</f>
        <v/>
      </c>
      <c r="O19" s="13" t="str">
        <f aca="false">IF($A19="","",IF(AND(節數矩陣!O19&gt;0,配課表!O19=""),"⚠",""))</f>
        <v/>
      </c>
      <c r="P19" s="13" t="str">
        <f aca="false">IF($A19="","",IF(AND(節數矩陣!P19&gt;0,配課表!P19=""),"⚠",""))</f>
        <v/>
      </c>
      <c r="Q19" s="13" t="str">
        <f aca="false">IF($A19="","",IF(AND(節數矩陣!Q19&gt;0,配課表!Q19=""),"⚠",""))</f>
        <v/>
      </c>
      <c r="R19" s="13" t="str">
        <f aca="false">IF($A19="","",IF(AND(節數矩陣!R19&gt;0,配課表!R19=""),"⚠",""))</f>
        <v/>
      </c>
      <c r="S19" s="13" t="str">
        <f aca="false">IF($A19="","",IF(AND(節數矩陣!S19&gt;0,配課表!S19=""),"⚠",""))</f>
        <v/>
      </c>
      <c r="T19" s="13" t="str">
        <f aca="false">IF($A19="","",IF(AND(節數矩陣!T19&gt;0,配課表!T19=""),"⚠",""))</f>
        <v/>
      </c>
      <c r="U19" s="13" t="str">
        <f aca="false">IF($A19="","",IF(AND(節數矩陣!U19&gt;0,配課表!U19=""),"⚠",""))</f>
        <v/>
      </c>
      <c r="V19" s="13" t="n">
        <f aca="false">IF($A19="",0,SUMPRODUCT((節數矩陣!$D19:$U19&gt;0)*(配課表!$D19:$U19="")*節數矩陣!$D19:$U19))</f>
        <v>0</v>
      </c>
    </row>
    <row r="20" customFormat="false" ht="15" hidden="false" customHeight="true" outlineLevel="0" collapsed="false">
      <c r="A20" s="13" t="str">
        <f aca="false">IF(班級基本資料!A20="","",班級基本資料!A20)</f>
        <v/>
      </c>
      <c r="B20" s="13" t="str">
        <f aca="false">IF(班級基本資料!A20="","",班級基本資料!B20)</f>
        <v/>
      </c>
      <c r="C20" s="13" t="str">
        <f aca="false">IF(班級基本資料!A20="","",班級基本資料!C20)</f>
        <v/>
      </c>
      <c r="D20" s="13" t="str">
        <f aca="false">IF($A20="","",IF(AND(節數矩陣!D20&gt;0,配課表!D20=""),"⚠",""))</f>
        <v/>
      </c>
      <c r="E20" s="13" t="str">
        <f aca="false">IF($A20="","",IF(AND(節數矩陣!E20&gt;0,配課表!E20=""),"⚠",""))</f>
        <v/>
      </c>
      <c r="F20" s="13" t="str">
        <f aca="false">IF($A20="","",IF(AND(節數矩陣!F20&gt;0,配課表!F20=""),"⚠",""))</f>
        <v/>
      </c>
      <c r="G20" s="13" t="str">
        <f aca="false">IF($A20="","",IF(AND(節數矩陣!G20&gt;0,配課表!G20=""),"⚠",""))</f>
        <v/>
      </c>
      <c r="H20" s="13" t="str">
        <f aca="false">IF($A20="","",IF(AND(節數矩陣!H20&gt;0,配課表!H20=""),"⚠",""))</f>
        <v/>
      </c>
      <c r="I20" s="13" t="str">
        <f aca="false">IF($A20="","",IF(AND(節數矩陣!I20&gt;0,配課表!I20=""),"⚠",""))</f>
        <v/>
      </c>
      <c r="J20" s="13" t="str">
        <f aca="false">IF($A20="","",IF(AND(節數矩陣!J20&gt;0,配課表!J20=""),"⚠",""))</f>
        <v/>
      </c>
      <c r="K20" s="13" t="str">
        <f aca="false">IF($A20="","",IF(AND(節數矩陣!K20&gt;0,配課表!K20=""),"⚠",""))</f>
        <v/>
      </c>
      <c r="L20" s="13" t="str">
        <f aca="false">IF($A20="","",IF(AND(節數矩陣!L20&gt;0,配課表!L20=""),"⚠",""))</f>
        <v/>
      </c>
      <c r="M20" s="13" t="str">
        <f aca="false">IF($A20="","",IF(AND(節數矩陣!M20&gt;0,配課表!M20=""),"⚠",""))</f>
        <v/>
      </c>
      <c r="N20" s="13" t="str">
        <f aca="false">IF($A20="","",IF(AND(節數矩陣!N20&gt;0,配課表!N20=""),"⚠",""))</f>
        <v/>
      </c>
      <c r="O20" s="13" t="str">
        <f aca="false">IF($A20="","",IF(AND(節數矩陣!O20&gt;0,配課表!O20=""),"⚠",""))</f>
        <v/>
      </c>
      <c r="P20" s="13" t="str">
        <f aca="false">IF($A20="","",IF(AND(節數矩陣!P20&gt;0,配課表!P20=""),"⚠",""))</f>
        <v/>
      </c>
      <c r="Q20" s="13" t="str">
        <f aca="false">IF($A20="","",IF(AND(節數矩陣!Q20&gt;0,配課表!Q20=""),"⚠",""))</f>
        <v/>
      </c>
      <c r="R20" s="13" t="str">
        <f aca="false">IF($A20="","",IF(AND(節數矩陣!R20&gt;0,配課表!R20=""),"⚠",""))</f>
        <v/>
      </c>
      <c r="S20" s="13" t="str">
        <f aca="false">IF($A20="","",IF(AND(節數矩陣!S20&gt;0,配課表!S20=""),"⚠",""))</f>
        <v/>
      </c>
      <c r="T20" s="13" t="str">
        <f aca="false">IF($A20="","",IF(AND(節數矩陣!T20&gt;0,配課表!T20=""),"⚠",""))</f>
        <v/>
      </c>
      <c r="U20" s="13" t="str">
        <f aca="false">IF($A20="","",IF(AND(節數矩陣!U20&gt;0,配課表!U20=""),"⚠",""))</f>
        <v/>
      </c>
      <c r="V20" s="13" t="n">
        <f aca="false">IF($A20="",0,SUMPRODUCT((節數矩陣!$D20:$U20&gt;0)*(配課表!$D20:$U20="")*節數矩陣!$D20:$U20))</f>
        <v>0</v>
      </c>
    </row>
    <row r="21" customFormat="false" ht="15" hidden="false" customHeight="true" outlineLevel="0" collapsed="false">
      <c r="A21" s="13" t="str">
        <f aca="false">IF(班級基本資料!A21="","",班級基本資料!A21)</f>
        <v/>
      </c>
      <c r="B21" s="13" t="str">
        <f aca="false">IF(班級基本資料!A21="","",班級基本資料!B21)</f>
        <v/>
      </c>
      <c r="C21" s="13" t="str">
        <f aca="false">IF(班級基本資料!A21="","",班級基本資料!C21)</f>
        <v/>
      </c>
      <c r="D21" s="13" t="str">
        <f aca="false">IF($A21="","",IF(AND(節數矩陣!D21&gt;0,配課表!D21=""),"⚠",""))</f>
        <v/>
      </c>
      <c r="E21" s="13" t="str">
        <f aca="false">IF($A21="","",IF(AND(節數矩陣!E21&gt;0,配課表!E21=""),"⚠",""))</f>
        <v/>
      </c>
      <c r="F21" s="13" t="str">
        <f aca="false">IF($A21="","",IF(AND(節數矩陣!F21&gt;0,配課表!F21=""),"⚠",""))</f>
        <v/>
      </c>
      <c r="G21" s="13" t="str">
        <f aca="false">IF($A21="","",IF(AND(節數矩陣!G21&gt;0,配課表!G21=""),"⚠",""))</f>
        <v/>
      </c>
      <c r="H21" s="13" t="str">
        <f aca="false">IF($A21="","",IF(AND(節數矩陣!H21&gt;0,配課表!H21=""),"⚠",""))</f>
        <v/>
      </c>
      <c r="I21" s="13" t="str">
        <f aca="false">IF($A21="","",IF(AND(節數矩陣!I21&gt;0,配課表!I21=""),"⚠",""))</f>
        <v/>
      </c>
      <c r="J21" s="13" t="str">
        <f aca="false">IF($A21="","",IF(AND(節數矩陣!J21&gt;0,配課表!J21=""),"⚠",""))</f>
        <v/>
      </c>
      <c r="K21" s="13" t="str">
        <f aca="false">IF($A21="","",IF(AND(節數矩陣!K21&gt;0,配課表!K21=""),"⚠",""))</f>
        <v/>
      </c>
      <c r="L21" s="13" t="str">
        <f aca="false">IF($A21="","",IF(AND(節數矩陣!L21&gt;0,配課表!L21=""),"⚠",""))</f>
        <v/>
      </c>
      <c r="M21" s="13" t="str">
        <f aca="false">IF($A21="","",IF(AND(節數矩陣!M21&gt;0,配課表!M21=""),"⚠",""))</f>
        <v/>
      </c>
      <c r="N21" s="13" t="str">
        <f aca="false">IF($A21="","",IF(AND(節數矩陣!N21&gt;0,配課表!N21=""),"⚠",""))</f>
        <v/>
      </c>
      <c r="O21" s="13" t="str">
        <f aca="false">IF($A21="","",IF(AND(節數矩陣!O21&gt;0,配課表!O21=""),"⚠",""))</f>
        <v/>
      </c>
      <c r="P21" s="13" t="str">
        <f aca="false">IF($A21="","",IF(AND(節數矩陣!P21&gt;0,配課表!P21=""),"⚠",""))</f>
        <v/>
      </c>
      <c r="Q21" s="13" t="str">
        <f aca="false">IF($A21="","",IF(AND(節數矩陣!Q21&gt;0,配課表!Q21=""),"⚠",""))</f>
        <v/>
      </c>
      <c r="R21" s="13" t="str">
        <f aca="false">IF($A21="","",IF(AND(節數矩陣!R21&gt;0,配課表!R21=""),"⚠",""))</f>
        <v/>
      </c>
      <c r="S21" s="13" t="str">
        <f aca="false">IF($A21="","",IF(AND(節數矩陣!S21&gt;0,配課表!S21=""),"⚠",""))</f>
        <v/>
      </c>
      <c r="T21" s="13" t="str">
        <f aca="false">IF($A21="","",IF(AND(節數矩陣!T21&gt;0,配課表!T21=""),"⚠",""))</f>
        <v/>
      </c>
      <c r="U21" s="13" t="str">
        <f aca="false">IF($A21="","",IF(AND(節數矩陣!U21&gt;0,配課表!U21=""),"⚠",""))</f>
        <v/>
      </c>
      <c r="V21" s="13" t="n">
        <f aca="false">IF($A21="",0,SUMPRODUCT((節數矩陣!$D21:$U21&gt;0)*(配課表!$D21:$U21="")*節數矩陣!$D21:$U21))</f>
        <v>0</v>
      </c>
    </row>
    <row r="22" customFormat="false" ht="15" hidden="false" customHeight="true" outlineLevel="0" collapsed="false">
      <c r="A22" s="13" t="str">
        <f aca="false">IF(班級基本資料!A22="","",班級基本資料!A22)</f>
        <v/>
      </c>
      <c r="B22" s="13" t="str">
        <f aca="false">IF(班級基本資料!A22="","",班級基本資料!B22)</f>
        <v/>
      </c>
      <c r="C22" s="13" t="str">
        <f aca="false">IF(班級基本資料!A22="","",班級基本資料!C22)</f>
        <v/>
      </c>
      <c r="D22" s="13" t="str">
        <f aca="false">IF($A22="","",IF(AND(節數矩陣!D22&gt;0,配課表!D22=""),"⚠",""))</f>
        <v/>
      </c>
      <c r="E22" s="13" t="str">
        <f aca="false">IF($A22="","",IF(AND(節數矩陣!E22&gt;0,配課表!E22=""),"⚠",""))</f>
        <v/>
      </c>
      <c r="F22" s="13" t="str">
        <f aca="false">IF($A22="","",IF(AND(節數矩陣!F22&gt;0,配課表!F22=""),"⚠",""))</f>
        <v/>
      </c>
      <c r="G22" s="13" t="str">
        <f aca="false">IF($A22="","",IF(AND(節數矩陣!G22&gt;0,配課表!G22=""),"⚠",""))</f>
        <v/>
      </c>
      <c r="H22" s="13" t="str">
        <f aca="false">IF($A22="","",IF(AND(節數矩陣!H22&gt;0,配課表!H22=""),"⚠",""))</f>
        <v/>
      </c>
      <c r="I22" s="13" t="str">
        <f aca="false">IF($A22="","",IF(AND(節數矩陣!I22&gt;0,配課表!I22=""),"⚠",""))</f>
        <v/>
      </c>
      <c r="J22" s="13" t="str">
        <f aca="false">IF($A22="","",IF(AND(節數矩陣!J22&gt;0,配課表!J22=""),"⚠",""))</f>
        <v/>
      </c>
      <c r="K22" s="13" t="str">
        <f aca="false">IF($A22="","",IF(AND(節數矩陣!K22&gt;0,配課表!K22=""),"⚠",""))</f>
        <v/>
      </c>
      <c r="L22" s="13" t="str">
        <f aca="false">IF($A22="","",IF(AND(節數矩陣!L22&gt;0,配課表!L22=""),"⚠",""))</f>
        <v/>
      </c>
      <c r="M22" s="13" t="str">
        <f aca="false">IF($A22="","",IF(AND(節數矩陣!M22&gt;0,配課表!M22=""),"⚠",""))</f>
        <v/>
      </c>
      <c r="N22" s="13" t="str">
        <f aca="false">IF($A22="","",IF(AND(節數矩陣!N22&gt;0,配課表!N22=""),"⚠",""))</f>
        <v/>
      </c>
      <c r="O22" s="13" t="str">
        <f aca="false">IF($A22="","",IF(AND(節數矩陣!O22&gt;0,配課表!O22=""),"⚠",""))</f>
        <v/>
      </c>
      <c r="P22" s="13" t="str">
        <f aca="false">IF($A22="","",IF(AND(節數矩陣!P22&gt;0,配課表!P22=""),"⚠",""))</f>
        <v/>
      </c>
      <c r="Q22" s="13" t="str">
        <f aca="false">IF($A22="","",IF(AND(節數矩陣!Q22&gt;0,配課表!Q22=""),"⚠",""))</f>
        <v/>
      </c>
      <c r="R22" s="13" t="str">
        <f aca="false">IF($A22="","",IF(AND(節數矩陣!R22&gt;0,配課表!R22=""),"⚠",""))</f>
        <v/>
      </c>
      <c r="S22" s="13" t="str">
        <f aca="false">IF($A22="","",IF(AND(節數矩陣!S22&gt;0,配課表!S22=""),"⚠",""))</f>
        <v/>
      </c>
      <c r="T22" s="13" t="str">
        <f aca="false">IF($A22="","",IF(AND(節數矩陣!T22&gt;0,配課表!T22=""),"⚠",""))</f>
        <v/>
      </c>
      <c r="U22" s="13" t="str">
        <f aca="false">IF($A22="","",IF(AND(節數矩陣!U22&gt;0,配課表!U22=""),"⚠",""))</f>
        <v/>
      </c>
      <c r="V22" s="13" t="n">
        <f aca="false">IF($A22="",0,SUMPRODUCT((節數矩陣!$D22:$U22&gt;0)*(配課表!$D22:$U22="")*節數矩陣!$D22:$U22))</f>
        <v>0</v>
      </c>
    </row>
    <row r="23" customFormat="false" ht="15" hidden="false" customHeight="true" outlineLevel="0" collapsed="false">
      <c r="A23" s="13" t="str">
        <f aca="false">IF(班級基本資料!A23="","",班級基本資料!A23)</f>
        <v/>
      </c>
      <c r="B23" s="13" t="str">
        <f aca="false">IF(班級基本資料!A23="","",班級基本資料!B23)</f>
        <v/>
      </c>
      <c r="C23" s="13" t="str">
        <f aca="false">IF(班級基本資料!A23="","",班級基本資料!C23)</f>
        <v/>
      </c>
      <c r="D23" s="13" t="str">
        <f aca="false">IF($A23="","",IF(AND(節數矩陣!D23&gt;0,配課表!D23=""),"⚠",""))</f>
        <v/>
      </c>
      <c r="E23" s="13" t="str">
        <f aca="false">IF($A23="","",IF(AND(節數矩陣!E23&gt;0,配課表!E23=""),"⚠",""))</f>
        <v/>
      </c>
      <c r="F23" s="13" t="str">
        <f aca="false">IF($A23="","",IF(AND(節數矩陣!F23&gt;0,配課表!F23=""),"⚠",""))</f>
        <v/>
      </c>
      <c r="G23" s="13" t="str">
        <f aca="false">IF($A23="","",IF(AND(節數矩陣!G23&gt;0,配課表!G23=""),"⚠",""))</f>
        <v/>
      </c>
      <c r="H23" s="13" t="str">
        <f aca="false">IF($A23="","",IF(AND(節數矩陣!H23&gt;0,配課表!H23=""),"⚠",""))</f>
        <v/>
      </c>
      <c r="I23" s="13" t="str">
        <f aca="false">IF($A23="","",IF(AND(節數矩陣!I23&gt;0,配課表!I23=""),"⚠",""))</f>
        <v/>
      </c>
      <c r="J23" s="13" t="str">
        <f aca="false">IF($A23="","",IF(AND(節數矩陣!J23&gt;0,配課表!J23=""),"⚠",""))</f>
        <v/>
      </c>
      <c r="K23" s="13" t="str">
        <f aca="false">IF($A23="","",IF(AND(節數矩陣!K23&gt;0,配課表!K23=""),"⚠",""))</f>
        <v/>
      </c>
      <c r="L23" s="13" t="str">
        <f aca="false">IF($A23="","",IF(AND(節數矩陣!L23&gt;0,配課表!L23=""),"⚠",""))</f>
        <v/>
      </c>
      <c r="M23" s="13" t="str">
        <f aca="false">IF($A23="","",IF(AND(節數矩陣!M23&gt;0,配課表!M23=""),"⚠",""))</f>
        <v/>
      </c>
      <c r="N23" s="13" t="str">
        <f aca="false">IF($A23="","",IF(AND(節數矩陣!N23&gt;0,配課表!N23=""),"⚠",""))</f>
        <v/>
      </c>
      <c r="O23" s="13" t="str">
        <f aca="false">IF($A23="","",IF(AND(節數矩陣!O23&gt;0,配課表!O23=""),"⚠",""))</f>
        <v/>
      </c>
      <c r="P23" s="13" t="str">
        <f aca="false">IF($A23="","",IF(AND(節數矩陣!P23&gt;0,配課表!P23=""),"⚠",""))</f>
        <v/>
      </c>
      <c r="Q23" s="13" t="str">
        <f aca="false">IF($A23="","",IF(AND(節數矩陣!Q23&gt;0,配課表!Q23=""),"⚠",""))</f>
        <v/>
      </c>
      <c r="R23" s="13" t="str">
        <f aca="false">IF($A23="","",IF(AND(節數矩陣!R23&gt;0,配課表!R23=""),"⚠",""))</f>
        <v/>
      </c>
      <c r="S23" s="13" t="str">
        <f aca="false">IF($A23="","",IF(AND(節數矩陣!S23&gt;0,配課表!S23=""),"⚠",""))</f>
        <v/>
      </c>
      <c r="T23" s="13" t="str">
        <f aca="false">IF($A23="","",IF(AND(節數矩陣!T23&gt;0,配課表!T23=""),"⚠",""))</f>
        <v/>
      </c>
      <c r="U23" s="13" t="str">
        <f aca="false">IF($A23="","",IF(AND(節數矩陣!U23&gt;0,配課表!U23=""),"⚠",""))</f>
        <v/>
      </c>
      <c r="V23" s="13" t="n">
        <f aca="false">IF($A23="",0,SUMPRODUCT((節數矩陣!$D23:$U23&gt;0)*(配課表!$D23:$U23="")*節數矩陣!$D23:$U23))</f>
        <v>0</v>
      </c>
    </row>
    <row r="24" customFormat="false" ht="15" hidden="false" customHeight="true" outlineLevel="0" collapsed="false">
      <c r="A24" s="13" t="str">
        <f aca="false">IF(班級基本資料!A24="","",班級基本資料!A24)</f>
        <v/>
      </c>
      <c r="B24" s="13" t="str">
        <f aca="false">IF(班級基本資料!A24="","",班級基本資料!B24)</f>
        <v/>
      </c>
      <c r="C24" s="13" t="str">
        <f aca="false">IF(班級基本資料!A24="","",班級基本資料!C24)</f>
        <v/>
      </c>
      <c r="D24" s="13" t="str">
        <f aca="false">IF($A24="","",IF(AND(節數矩陣!D24&gt;0,配課表!D24=""),"⚠",""))</f>
        <v/>
      </c>
      <c r="E24" s="13" t="str">
        <f aca="false">IF($A24="","",IF(AND(節數矩陣!E24&gt;0,配課表!E24=""),"⚠",""))</f>
        <v/>
      </c>
      <c r="F24" s="13" t="str">
        <f aca="false">IF($A24="","",IF(AND(節數矩陣!F24&gt;0,配課表!F24=""),"⚠",""))</f>
        <v/>
      </c>
      <c r="G24" s="13" t="str">
        <f aca="false">IF($A24="","",IF(AND(節數矩陣!G24&gt;0,配課表!G24=""),"⚠",""))</f>
        <v/>
      </c>
      <c r="H24" s="13" t="str">
        <f aca="false">IF($A24="","",IF(AND(節數矩陣!H24&gt;0,配課表!H24=""),"⚠",""))</f>
        <v/>
      </c>
      <c r="I24" s="13" t="str">
        <f aca="false">IF($A24="","",IF(AND(節數矩陣!I24&gt;0,配課表!I24=""),"⚠",""))</f>
        <v/>
      </c>
      <c r="J24" s="13" t="str">
        <f aca="false">IF($A24="","",IF(AND(節數矩陣!J24&gt;0,配課表!J24=""),"⚠",""))</f>
        <v/>
      </c>
      <c r="K24" s="13" t="str">
        <f aca="false">IF($A24="","",IF(AND(節數矩陣!K24&gt;0,配課表!K24=""),"⚠",""))</f>
        <v/>
      </c>
      <c r="L24" s="13" t="str">
        <f aca="false">IF($A24="","",IF(AND(節數矩陣!L24&gt;0,配課表!L24=""),"⚠",""))</f>
        <v/>
      </c>
      <c r="M24" s="13" t="str">
        <f aca="false">IF($A24="","",IF(AND(節數矩陣!M24&gt;0,配課表!M24=""),"⚠",""))</f>
        <v/>
      </c>
      <c r="N24" s="13" t="str">
        <f aca="false">IF($A24="","",IF(AND(節數矩陣!N24&gt;0,配課表!N24=""),"⚠",""))</f>
        <v/>
      </c>
      <c r="O24" s="13" t="str">
        <f aca="false">IF($A24="","",IF(AND(節數矩陣!O24&gt;0,配課表!O24=""),"⚠",""))</f>
        <v/>
      </c>
      <c r="P24" s="13" t="str">
        <f aca="false">IF($A24="","",IF(AND(節數矩陣!P24&gt;0,配課表!P24=""),"⚠",""))</f>
        <v/>
      </c>
      <c r="Q24" s="13" t="str">
        <f aca="false">IF($A24="","",IF(AND(節數矩陣!Q24&gt;0,配課表!Q24=""),"⚠",""))</f>
        <v/>
      </c>
      <c r="R24" s="13" t="str">
        <f aca="false">IF($A24="","",IF(AND(節數矩陣!R24&gt;0,配課表!R24=""),"⚠",""))</f>
        <v/>
      </c>
      <c r="S24" s="13" t="str">
        <f aca="false">IF($A24="","",IF(AND(節數矩陣!S24&gt;0,配課表!S24=""),"⚠",""))</f>
        <v/>
      </c>
      <c r="T24" s="13" t="str">
        <f aca="false">IF($A24="","",IF(AND(節數矩陣!T24&gt;0,配課表!T24=""),"⚠",""))</f>
        <v/>
      </c>
      <c r="U24" s="13" t="str">
        <f aca="false">IF($A24="","",IF(AND(節數矩陣!U24&gt;0,配課表!U24=""),"⚠",""))</f>
        <v/>
      </c>
      <c r="V24" s="13" t="n">
        <f aca="false">IF($A24="",0,SUMPRODUCT((節數矩陣!$D24:$U24&gt;0)*(配課表!$D24:$U24="")*節數矩陣!$D24:$U24))</f>
        <v>0</v>
      </c>
    </row>
    <row r="25" customFormat="false" ht="15" hidden="false" customHeight="true" outlineLevel="0" collapsed="false">
      <c r="A25" s="13" t="str">
        <f aca="false">IF(班級基本資料!A25="","",班級基本資料!A25)</f>
        <v/>
      </c>
      <c r="B25" s="13" t="str">
        <f aca="false">IF(班級基本資料!A25="","",班級基本資料!B25)</f>
        <v/>
      </c>
      <c r="C25" s="13" t="str">
        <f aca="false">IF(班級基本資料!A25="","",班級基本資料!C25)</f>
        <v/>
      </c>
      <c r="D25" s="13" t="str">
        <f aca="false">IF($A25="","",IF(AND(節數矩陣!D25&gt;0,配課表!D25=""),"⚠",""))</f>
        <v/>
      </c>
      <c r="E25" s="13" t="str">
        <f aca="false">IF($A25="","",IF(AND(節數矩陣!E25&gt;0,配課表!E25=""),"⚠",""))</f>
        <v/>
      </c>
      <c r="F25" s="13" t="str">
        <f aca="false">IF($A25="","",IF(AND(節數矩陣!F25&gt;0,配課表!F25=""),"⚠",""))</f>
        <v/>
      </c>
      <c r="G25" s="13" t="str">
        <f aca="false">IF($A25="","",IF(AND(節數矩陣!G25&gt;0,配課表!G25=""),"⚠",""))</f>
        <v/>
      </c>
      <c r="H25" s="13" t="str">
        <f aca="false">IF($A25="","",IF(AND(節數矩陣!H25&gt;0,配課表!H25=""),"⚠",""))</f>
        <v/>
      </c>
      <c r="I25" s="13" t="str">
        <f aca="false">IF($A25="","",IF(AND(節數矩陣!I25&gt;0,配課表!I25=""),"⚠",""))</f>
        <v/>
      </c>
      <c r="J25" s="13" t="str">
        <f aca="false">IF($A25="","",IF(AND(節數矩陣!J25&gt;0,配課表!J25=""),"⚠",""))</f>
        <v/>
      </c>
      <c r="K25" s="13" t="str">
        <f aca="false">IF($A25="","",IF(AND(節數矩陣!K25&gt;0,配課表!K25=""),"⚠",""))</f>
        <v/>
      </c>
      <c r="L25" s="13" t="str">
        <f aca="false">IF($A25="","",IF(AND(節數矩陣!L25&gt;0,配課表!L25=""),"⚠",""))</f>
        <v/>
      </c>
      <c r="M25" s="13" t="str">
        <f aca="false">IF($A25="","",IF(AND(節數矩陣!M25&gt;0,配課表!M25=""),"⚠",""))</f>
        <v/>
      </c>
      <c r="N25" s="13" t="str">
        <f aca="false">IF($A25="","",IF(AND(節數矩陣!N25&gt;0,配課表!N25=""),"⚠",""))</f>
        <v/>
      </c>
      <c r="O25" s="13" t="str">
        <f aca="false">IF($A25="","",IF(AND(節數矩陣!O25&gt;0,配課表!O25=""),"⚠",""))</f>
        <v/>
      </c>
      <c r="P25" s="13" t="str">
        <f aca="false">IF($A25="","",IF(AND(節數矩陣!P25&gt;0,配課表!P25=""),"⚠",""))</f>
        <v/>
      </c>
      <c r="Q25" s="13" t="str">
        <f aca="false">IF($A25="","",IF(AND(節數矩陣!Q25&gt;0,配課表!Q25=""),"⚠",""))</f>
        <v/>
      </c>
      <c r="R25" s="13" t="str">
        <f aca="false">IF($A25="","",IF(AND(節數矩陣!R25&gt;0,配課表!R25=""),"⚠",""))</f>
        <v/>
      </c>
      <c r="S25" s="13" t="str">
        <f aca="false">IF($A25="","",IF(AND(節數矩陣!S25&gt;0,配課表!S25=""),"⚠",""))</f>
        <v/>
      </c>
      <c r="T25" s="13" t="str">
        <f aca="false">IF($A25="","",IF(AND(節數矩陣!T25&gt;0,配課表!T25=""),"⚠",""))</f>
        <v/>
      </c>
      <c r="U25" s="13" t="str">
        <f aca="false">IF($A25="","",IF(AND(節數矩陣!U25&gt;0,配課表!U25=""),"⚠",""))</f>
        <v/>
      </c>
      <c r="V25" s="13" t="n">
        <f aca="false">IF($A25="",0,SUMPRODUCT((節數矩陣!$D25:$U25&gt;0)*(配課表!$D25:$U25="")*節數矩陣!$D25:$U25))</f>
        <v>0</v>
      </c>
    </row>
    <row r="26" customFormat="false" ht="15" hidden="false" customHeight="true" outlineLevel="0" collapsed="false">
      <c r="A26" s="13" t="str">
        <f aca="false">IF(班級基本資料!A26="","",班級基本資料!A26)</f>
        <v/>
      </c>
      <c r="B26" s="13" t="str">
        <f aca="false">IF(班級基本資料!A26="","",班級基本資料!B26)</f>
        <v/>
      </c>
      <c r="C26" s="13" t="str">
        <f aca="false">IF(班級基本資料!A26="","",班級基本資料!C26)</f>
        <v/>
      </c>
      <c r="D26" s="13" t="str">
        <f aca="false">IF($A26="","",IF(AND(節數矩陣!D26&gt;0,配課表!D26=""),"⚠",""))</f>
        <v/>
      </c>
      <c r="E26" s="13" t="str">
        <f aca="false">IF($A26="","",IF(AND(節數矩陣!E26&gt;0,配課表!E26=""),"⚠",""))</f>
        <v/>
      </c>
      <c r="F26" s="13" t="str">
        <f aca="false">IF($A26="","",IF(AND(節數矩陣!F26&gt;0,配課表!F26=""),"⚠",""))</f>
        <v/>
      </c>
      <c r="G26" s="13" t="str">
        <f aca="false">IF($A26="","",IF(AND(節數矩陣!G26&gt;0,配課表!G26=""),"⚠",""))</f>
        <v/>
      </c>
      <c r="H26" s="13" t="str">
        <f aca="false">IF($A26="","",IF(AND(節數矩陣!H26&gt;0,配課表!H26=""),"⚠",""))</f>
        <v/>
      </c>
      <c r="I26" s="13" t="str">
        <f aca="false">IF($A26="","",IF(AND(節數矩陣!I26&gt;0,配課表!I26=""),"⚠",""))</f>
        <v/>
      </c>
      <c r="J26" s="13" t="str">
        <f aca="false">IF($A26="","",IF(AND(節數矩陣!J26&gt;0,配課表!J26=""),"⚠",""))</f>
        <v/>
      </c>
      <c r="K26" s="13" t="str">
        <f aca="false">IF($A26="","",IF(AND(節數矩陣!K26&gt;0,配課表!K26=""),"⚠",""))</f>
        <v/>
      </c>
      <c r="L26" s="13" t="str">
        <f aca="false">IF($A26="","",IF(AND(節數矩陣!L26&gt;0,配課表!L26=""),"⚠",""))</f>
        <v/>
      </c>
      <c r="M26" s="13" t="str">
        <f aca="false">IF($A26="","",IF(AND(節數矩陣!M26&gt;0,配課表!M26=""),"⚠",""))</f>
        <v/>
      </c>
      <c r="N26" s="13" t="str">
        <f aca="false">IF($A26="","",IF(AND(節數矩陣!N26&gt;0,配課表!N26=""),"⚠",""))</f>
        <v/>
      </c>
      <c r="O26" s="13" t="str">
        <f aca="false">IF($A26="","",IF(AND(節數矩陣!O26&gt;0,配課表!O26=""),"⚠",""))</f>
        <v/>
      </c>
      <c r="P26" s="13" t="str">
        <f aca="false">IF($A26="","",IF(AND(節數矩陣!P26&gt;0,配課表!P26=""),"⚠",""))</f>
        <v/>
      </c>
      <c r="Q26" s="13" t="str">
        <f aca="false">IF($A26="","",IF(AND(節數矩陣!Q26&gt;0,配課表!Q26=""),"⚠",""))</f>
        <v/>
      </c>
      <c r="R26" s="13" t="str">
        <f aca="false">IF($A26="","",IF(AND(節數矩陣!R26&gt;0,配課表!R26=""),"⚠",""))</f>
        <v/>
      </c>
      <c r="S26" s="13" t="str">
        <f aca="false">IF($A26="","",IF(AND(節數矩陣!S26&gt;0,配課表!S26=""),"⚠",""))</f>
        <v/>
      </c>
      <c r="T26" s="13" t="str">
        <f aca="false">IF($A26="","",IF(AND(節數矩陣!T26&gt;0,配課表!T26=""),"⚠",""))</f>
        <v/>
      </c>
      <c r="U26" s="13" t="str">
        <f aca="false">IF($A26="","",IF(AND(節數矩陣!U26&gt;0,配課表!U26=""),"⚠",""))</f>
        <v/>
      </c>
      <c r="V26" s="13" t="n">
        <f aca="false">IF($A26="",0,SUMPRODUCT((節數矩陣!$D26:$U26&gt;0)*(配課表!$D26:$U26="")*節數矩陣!$D26:$U26))</f>
        <v>0</v>
      </c>
    </row>
    <row r="27" customFormat="false" ht="15" hidden="false" customHeight="true" outlineLevel="0" collapsed="false">
      <c r="A27" s="13" t="str">
        <f aca="false">IF(班級基本資料!A27="","",班級基本資料!A27)</f>
        <v/>
      </c>
      <c r="B27" s="13" t="str">
        <f aca="false">IF(班級基本資料!A27="","",班級基本資料!B27)</f>
        <v/>
      </c>
      <c r="C27" s="13" t="str">
        <f aca="false">IF(班級基本資料!A27="","",班級基本資料!C27)</f>
        <v/>
      </c>
      <c r="D27" s="13" t="str">
        <f aca="false">IF($A27="","",IF(AND(節數矩陣!D27&gt;0,配課表!D27=""),"⚠",""))</f>
        <v/>
      </c>
      <c r="E27" s="13" t="str">
        <f aca="false">IF($A27="","",IF(AND(節數矩陣!E27&gt;0,配課表!E27=""),"⚠",""))</f>
        <v/>
      </c>
      <c r="F27" s="13" t="str">
        <f aca="false">IF($A27="","",IF(AND(節數矩陣!F27&gt;0,配課表!F27=""),"⚠",""))</f>
        <v/>
      </c>
      <c r="G27" s="13" t="str">
        <f aca="false">IF($A27="","",IF(AND(節數矩陣!G27&gt;0,配課表!G27=""),"⚠",""))</f>
        <v/>
      </c>
      <c r="H27" s="13" t="str">
        <f aca="false">IF($A27="","",IF(AND(節數矩陣!H27&gt;0,配課表!H27=""),"⚠",""))</f>
        <v/>
      </c>
      <c r="I27" s="13" t="str">
        <f aca="false">IF($A27="","",IF(AND(節數矩陣!I27&gt;0,配課表!I27=""),"⚠",""))</f>
        <v/>
      </c>
      <c r="J27" s="13" t="str">
        <f aca="false">IF($A27="","",IF(AND(節數矩陣!J27&gt;0,配課表!J27=""),"⚠",""))</f>
        <v/>
      </c>
      <c r="K27" s="13" t="str">
        <f aca="false">IF($A27="","",IF(AND(節數矩陣!K27&gt;0,配課表!K27=""),"⚠",""))</f>
        <v/>
      </c>
      <c r="L27" s="13" t="str">
        <f aca="false">IF($A27="","",IF(AND(節數矩陣!L27&gt;0,配課表!L27=""),"⚠",""))</f>
        <v/>
      </c>
      <c r="M27" s="13" t="str">
        <f aca="false">IF($A27="","",IF(AND(節數矩陣!M27&gt;0,配課表!M27=""),"⚠",""))</f>
        <v/>
      </c>
      <c r="N27" s="13" t="str">
        <f aca="false">IF($A27="","",IF(AND(節數矩陣!N27&gt;0,配課表!N27=""),"⚠",""))</f>
        <v/>
      </c>
      <c r="O27" s="13" t="str">
        <f aca="false">IF($A27="","",IF(AND(節數矩陣!O27&gt;0,配課表!O27=""),"⚠",""))</f>
        <v/>
      </c>
      <c r="P27" s="13" t="str">
        <f aca="false">IF($A27="","",IF(AND(節數矩陣!P27&gt;0,配課表!P27=""),"⚠",""))</f>
        <v/>
      </c>
      <c r="Q27" s="13" t="str">
        <f aca="false">IF($A27="","",IF(AND(節數矩陣!Q27&gt;0,配課表!Q27=""),"⚠",""))</f>
        <v/>
      </c>
      <c r="R27" s="13" t="str">
        <f aca="false">IF($A27="","",IF(AND(節數矩陣!R27&gt;0,配課表!R27=""),"⚠",""))</f>
        <v/>
      </c>
      <c r="S27" s="13" t="str">
        <f aca="false">IF($A27="","",IF(AND(節數矩陣!S27&gt;0,配課表!S27=""),"⚠",""))</f>
        <v/>
      </c>
      <c r="T27" s="13" t="str">
        <f aca="false">IF($A27="","",IF(AND(節數矩陣!T27&gt;0,配課表!T27=""),"⚠",""))</f>
        <v/>
      </c>
      <c r="U27" s="13" t="str">
        <f aca="false">IF($A27="","",IF(AND(節數矩陣!U27&gt;0,配課表!U27=""),"⚠",""))</f>
        <v/>
      </c>
      <c r="V27" s="13" t="n">
        <f aca="false">IF($A27="",0,SUMPRODUCT((節數矩陣!$D27:$U27&gt;0)*(配課表!$D27:$U27="")*節數矩陣!$D27:$U27))</f>
        <v>0</v>
      </c>
    </row>
    <row r="28" customFormat="false" ht="15" hidden="false" customHeight="true" outlineLevel="0" collapsed="false">
      <c r="A28" s="13" t="str">
        <f aca="false">IF(班級基本資料!A28="","",班級基本資料!A28)</f>
        <v/>
      </c>
      <c r="B28" s="13" t="str">
        <f aca="false">IF(班級基本資料!A28="","",班級基本資料!B28)</f>
        <v/>
      </c>
      <c r="C28" s="13" t="str">
        <f aca="false">IF(班級基本資料!A28="","",班級基本資料!C28)</f>
        <v/>
      </c>
      <c r="D28" s="13" t="str">
        <f aca="false">IF($A28="","",IF(AND(節數矩陣!D28&gt;0,配課表!D28=""),"⚠",""))</f>
        <v/>
      </c>
      <c r="E28" s="13" t="str">
        <f aca="false">IF($A28="","",IF(AND(節數矩陣!E28&gt;0,配課表!E28=""),"⚠",""))</f>
        <v/>
      </c>
      <c r="F28" s="13" t="str">
        <f aca="false">IF($A28="","",IF(AND(節數矩陣!F28&gt;0,配課表!F28=""),"⚠",""))</f>
        <v/>
      </c>
      <c r="G28" s="13" t="str">
        <f aca="false">IF($A28="","",IF(AND(節數矩陣!G28&gt;0,配課表!G28=""),"⚠",""))</f>
        <v/>
      </c>
      <c r="H28" s="13" t="str">
        <f aca="false">IF($A28="","",IF(AND(節數矩陣!H28&gt;0,配課表!H28=""),"⚠",""))</f>
        <v/>
      </c>
      <c r="I28" s="13" t="str">
        <f aca="false">IF($A28="","",IF(AND(節數矩陣!I28&gt;0,配課表!I28=""),"⚠",""))</f>
        <v/>
      </c>
      <c r="J28" s="13" t="str">
        <f aca="false">IF($A28="","",IF(AND(節數矩陣!J28&gt;0,配課表!J28=""),"⚠",""))</f>
        <v/>
      </c>
      <c r="K28" s="13" t="str">
        <f aca="false">IF($A28="","",IF(AND(節數矩陣!K28&gt;0,配課表!K28=""),"⚠",""))</f>
        <v/>
      </c>
      <c r="L28" s="13" t="str">
        <f aca="false">IF($A28="","",IF(AND(節數矩陣!L28&gt;0,配課表!L28=""),"⚠",""))</f>
        <v/>
      </c>
      <c r="M28" s="13" t="str">
        <f aca="false">IF($A28="","",IF(AND(節數矩陣!M28&gt;0,配課表!M28=""),"⚠",""))</f>
        <v/>
      </c>
      <c r="N28" s="13" t="str">
        <f aca="false">IF($A28="","",IF(AND(節數矩陣!N28&gt;0,配課表!N28=""),"⚠",""))</f>
        <v/>
      </c>
      <c r="O28" s="13" t="str">
        <f aca="false">IF($A28="","",IF(AND(節數矩陣!O28&gt;0,配課表!O28=""),"⚠",""))</f>
        <v/>
      </c>
      <c r="P28" s="13" t="str">
        <f aca="false">IF($A28="","",IF(AND(節數矩陣!P28&gt;0,配課表!P28=""),"⚠",""))</f>
        <v/>
      </c>
      <c r="Q28" s="13" t="str">
        <f aca="false">IF($A28="","",IF(AND(節數矩陣!Q28&gt;0,配課表!Q28=""),"⚠",""))</f>
        <v/>
      </c>
      <c r="R28" s="13" t="str">
        <f aca="false">IF($A28="","",IF(AND(節數矩陣!R28&gt;0,配課表!R28=""),"⚠",""))</f>
        <v/>
      </c>
      <c r="S28" s="13" t="str">
        <f aca="false">IF($A28="","",IF(AND(節數矩陣!S28&gt;0,配課表!S28=""),"⚠",""))</f>
        <v/>
      </c>
      <c r="T28" s="13" t="str">
        <f aca="false">IF($A28="","",IF(AND(節數矩陣!T28&gt;0,配課表!T28=""),"⚠",""))</f>
        <v/>
      </c>
      <c r="U28" s="13" t="str">
        <f aca="false">IF($A28="","",IF(AND(節數矩陣!U28&gt;0,配課表!U28=""),"⚠",""))</f>
        <v/>
      </c>
      <c r="V28" s="13" t="n">
        <f aca="false">IF($A28="",0,SUMPRODUCT((節數矩陣!$D28:$U28&gt;0)*(配課表!$D28:$U28="")*節數矩陣!$D28:$U28))</f>
        <v>0</v>
      </c>
    </row>
    <row r="29" customFormat="false" ht="15" hidden="false" customHeight="true" outlineLevel="0" collapsed="false">
      <c r="A29" s="13" t="str">
        <f aca="false">IF(班級基本資料!A29="","",班級基本資料!A29)</f>
        <v/>
      </c>
      <c r="B29" s="13" t="str">
        <f aca="false">IF(班級基本資料!A29="","",班級基本資料!B29)</f>
        <v/>
      </c>
      <c r="C29" s="13" t="str">
        <f aca="false">IF(班級基本資料!A29="","",班級基本資料!C29)</f>
        <v/>
      </c>
      <c r="D29" s="13" t="str">
        <f aca="false">IF($A29="","",IF(AND(節數矩陣!D29&gt;0,配課表!D29=""),"⚠",""))</f>
        <v/>
      </c>
      <c r="E29" s="13" t="str">
        <f aca="false">IF($A29="","",IF(AND(節數矩陣!E29&gt;0,配課表!E29=""),"⚠",""))</f>
        <v/>
      </c>
      <c r="F29" s="13" t="str">
        <f aca="false">IF($A29="","",IF(AND(節數矩陣!F29&gt;0,配課表!F29=""),"⚠",""))</f>
        <v/>
      </c>
      <c r="G29" s="13" t="str">
        <f aca="false">IF($A29="","",IF(AND(節數矩陣!G29&gt;0,配課表!G29=""),"⚠",""))</f>
        <v/>
      </c>
      <c r="H29" s="13" t="str">
        <f aca="false">IF($A29="","",IF(AND(節數矩陣!H29&gt;0,配課表!H29=""),"⚠",""))</f>
        <v/>
      </c>
      <c r="I29" s="13" t="str">
        <f aca="false">IF($A29="","",IF(AND(節數矩陣!I29&gt;0,配課表!I29=""),"⚠",""))</f>
        <v/>
      </c>
      <c r="J29" s="13" t="str">
        <f aca="false">IF($A29="","",IF(AND(節數矩陣!J29&gt;0,配課表!J29=""),"⚠",""))</f>
        <v/>
      </c>
      <c r="K29" s="13" t="str">
        <f aca="false">IF($A29="","",IF(AND(節數矩陣!K29&gt;0,配課表!K29=""),"⚠",""))</f>
        <v/>
      </c>
      <c r="L29" s="13" t="str">
        <f aca="false">IF($A29="","",IF(AND(節數矩陣!L29&gt;0,配課表!L29=""),"⚠",""))</f>
        <v/>
      </c>
      <c r="M29" s="13" t="str">
        <f aca="false">IF($A29="","",IF(AND(節數矩陣!M29&gt;0,配課表!M29=""),"⚠",""))</f>
        <v/>
      </c>
      <c r="N29" s="13" t="str">
        <f aca="false">IF($A29="","",IF(AND(節數矩陣!N29&gt;0,配課表!N29=""),"⚠",""))</f>
        <v/>
      </c>
      <c r="O29" s="13" t="str">
        <f aca="false">IF($A29="","",IF(AND(節數矩陣!O29&gt;0,配課表!O29=""),"⚠",""))</f>
        <v/>
      </c>
      <c r="P29" s="13" t="str">
        <f aca="false">IF($A29="","",IF(AND(節數矩陣!P29&gt;0,配課表!P29=""),"⚠",""))</f>
        <v/>
      </c>
      <c r="Q29" s="13" t="str">
        <f aca="false">IF($A29="","",IF(AND(節數矩陣!Q29&gt;0,配課表!Q29=""),"⚠",""))</f>
        <v/>
      </c>
      <c r="R29" s="13" t="str">
        <f aca="false">IF($A29="","",IF(AND(節數矩陣!R29&gt;0,配課表!R29=""),"⚠",""))</f>
        <v/>
      </c>
      <c r="S29" s="13" t="str">
        <f aca="false">IF($A29="","",IF(AND(節數矩陣!S29&gt;0,配課表!S29=""),"⚠",""))</f>
        <v/>
      </c>
      <c r="T29" s="13" t="str">
        <f aca="false">IF($A29="","",IF(AND(節數矩陣!T29&gt;0,配課表!T29=""),"⚠",""))</f>
        <v/>
      </c>
      <c r="U29" s="13" t="str">
        <f aca="false">IF($A29="","",IF(AND(節數矩陣!U29&gt;0,配課表!U29=""),"⚠",""))</f>
        <v/>
      </c>
      <c r="V29" s="13" t="n">
        <f aca="false">IF($A29="",0,SUMPRODUCT((節數矩陣!$D29:$U29&gt;0)*(配課表!$D29:$U29="")*節數矩陣!$D29:$U29))</f>
        <v>0</v>
      </c>
    </row>
    <row r="30" customFormat="false" ht="15" hidden="false" customHeight="true" outlineLevel="0" collapsed="false">
      <c r="A30" s="13" t="str">
        <f aca="false">IF(班級基本資料!A30="","",班級基本資料!A30)</f>
        <v/>
      </c>
      <c r="B30" s="13" t="str">
        <f aca="false">IF(班級基本資料!A30="","",班級基本資料!B30)</f>
        <v/>
      </c>
      <c r="C30" s="13" t="str">
        <f aca="false">IF(班級基本資料!A30="","",班級基本資料!C30)</f>
        <v/>
      </c>
      <c r="D30" s="13" t="str">
        <f aca="false">IF($A30="","",IF(AND(節數矩陣!D30&gt;0,配課表!D30=""),"⚠",""))</f>
        <v/>
      </c>
      <c r="E30" s="13" t="str">
        <f aca="false">IF($A30="","",IF(AND(節數矩陣!E30&gt;0,配課表!E30=""),"⚠",""))</f>
        <v/>
      </c>
      <c r="F30" s="13" t="str">
        <f aca="false">IF($A30="","",IF(AND(節數矩陣!F30&gt;0,配課表!F30=""),"⚠",""))</f>
        <v/>
      </c>
      <c r="G30" s="13" t="str">
        <f aca="false">IF($A30="","",IF(AND(節數矩陣!G30&gt;0,配課表!G30=""),"⚠",""))</f>
        <v/>
      </c>
      <c r="H30" s="13" t="str">
        <f aca="false">IF($A30="","",IF(AND(節數矩陣!H30&gt;0,配課表!H30=""),"⚠",""))</f>
        <v/>
      </c>
      <c r="I30" s="13" t="str">
        <f aca="false">IF($A30="","",IF(AND(節數矩陣!I30&gt;0,配課表!I30=""),"⚠",""))</f>
        <v/>
      </c>
      <c r="J30" s="13" t="str">
        <f aca="false">IF($A30="","",IF(AND(節數矩陣!J30&gt;0,配課表!J30=""),"⚠",""))</f>
        <v/>
      </c>
      <c r="K30" s="13" t="str">
        <f aca="false">IF($A30="","",IF(AND(節數矩陣!K30&gt;0,配課表!K30=""),"⚠",""))</f>
        <v/>
      </c>
      <c r="L30" s="13" t="str">
        <f aca="false">IF($A30="","",IF(AND(節數矩陣!L30&gt;0,配課表!L30=""),"⚠",""))</f>
        <v/>
      </c>
      <c r="M30" s="13" t="str">
        <f aca="false">IF($A30="","",IF(AND(節數矩陣!M30&gt;0,配課表!M30=""),"⚠",""))</f>
        <v/>
      </c>
      <c r="N30" s="13" t="str">
        <f aca="false">IF($A30="","",IF(AND(節數矩陣!N30&gt;0,配課表!N30=""),"⚠",""))</f>
        <v/>
      </c>
      <c r="O30" s="13" t="str">
        <f aca="false">IF($A30="","",IF(AND(節數矩陣!O30&gt;0,配課表!O30=""),"⚠",""))</f>
        <v/>
      </c>
      <c r="P30" s="13" t="str">
        <f aca="false">IF($A30="","",IF(AND(節數矩陣!P30&gt;0,配課表!P30=""),"⚠",""))</f>
        <v/>
      </c>
      <c r="Q30" s="13" t="str">
        <f aca="false">IF($A30="","",IF(AND(節數矩陣!Q30&gt;0,配課表!Q30=""),"⚠",""))</f>
        <v/>
      </c>
      <c r="R30" s="13" t="str">
        <f aca="false">IF($A30="","",IF(AND(節數矩陣!R30&gt;0,配課表!R30=""),"⚠",""))</f>
        <v/>
      </c>
      <c r="S30" s="13" t="str">
        <f aca="false">IF($A30="","",IF(AND(節數矩陣!S30&gt;0,配課表!S30=""),"⚠",""))</f>
        <v/>
      </c>
      <c r="T30" s="13" t="str">
        <f aca="false">IF($A30="","",IF(AND(節數矩陣!T30&gt;0,配課表!T30=""),"⚠",""))</f>
        <v/>
      </c>
      <c r="U30" s="13" t="str">
        <f aca="false">IF($A30="","",IF(AND(節數矩陣!U30&gt;0,配課表!U30=""),"⚠",""))</f>
        <v/>
      </c>
      <c r="V30" s="13" t="n">
        <f aca="false">IF($A30="",0,SUMPRODUCT((節數矩陣!$D30:$U30&gt;0)*(配課表!$D30:$U30="")*節數矩陣!$D30:$U30))</f>
        <v>0</v>
      </c>
    </row>
    <row r="31" customFormat="false" ht="15" hidden="false" customHeight="true" outlineLevel="0" collapsed="false">
      <c r="A31" s="13" t="str">
        <f aca="false">IF(班級基本資料!A31="","",班級基本資料!A31)</f>
        <v/>
      </c>
      <c r="B31" s="13" t="str">
        <f aca="false">IF(班級基本資料!A31="","",班級基本資料!B31)</f>
        <v/>
      </c>
      <c r="C31" s="13" t="str">
        <f aca="false">IF(班級基本資料!A31="","",班級基本資料!C31)</f>
        <v/>
      </c>
      <c r="D31" s="13" t="str">
        <f aca="false">IF($A31="","",IF(AND(節數矩陣!D31&gt;0,配課表!D31=""),"⚠",""))</f>
        <v/>
      </c>
      <c r="E31" s="13" t="str">
        <f aca="false">IF($A31="","",IF(AND(節數矩陣!E31&gt;0,配課表!E31=""),"⚠",""))</f>
        <v/>
      </c>
      <c r="F31" s="13" t="str">
        <f aca="false">IF($A31="","",IF(AND(節數矩陣!F31&gt;0,配課表!F31=""),"⚠",""))</f>
        <v/>
      </c>
      <c r="G31" s="13" t="str">
        <f aca="false">IF($A31="","",IF(AND(節數矩陣!G31&gt;0,配課表!G31=""),"⚠",""))</f>
        <v/>
      </c>
      <c r="H31" s="13" t="str">
        <f aca="false">IF($A31="","",IF(AND(節數矩陣!H31&gt;0,配課表!H31=""),"⚠",""))</f>
        <v/>
      </c>
      <c r="I31" s="13" t="str">
        <f aca="false">IF($A31="","",IF(AND(節數矩陣!I31&gt;0,配課表!I31=""),"⚠",""))</f>
        <v/>
      </c>
      <c r="J31" s="13" t="str">
        <f aca="false">IF($A31="","",IF(AND(節數矩陣!J31&gt;0,配課表!J31=""),"⚠",""))</f>
        <v/>
      </c>
      <c r="K31" s="13" t="str">
        <f aca="false">IF($A31="","",IF(AND(節數矩陣!K31&gt;0,配課表!K31=""),"⚠",""))</f>
        <v/>
      </c>
      <c r="L31" s="13" t="str">
        <f aca="false">IF($A31="","",IF(AND(節數矩陣!L31&gt;0,配課表!L31=""),"⚠",""))</f>
        <v/>
      </c>
      <c r="M31" s="13" t="str">
        <f aca="false">IF($A31="","",IF(AND(節數矩陣!M31&gt;0,配課表!M31=""),"⚠",""))</f>
        <v/>
      </c>
      <c r="N31" s="13" t="str">
        <f aca="false">IF($A31="","",IF(AND(節數矩陣!N31&gt;0,配課表!N31=""),"⚠",""))</f>
        <v/>
      </c>
      <c r="O31" s="13" t="str">
        <f aca="false">IF($A31="","",IF(AND(節數矩陣!O31&gt;0,配課表!O31=""),"⚠",""))</f>
        <v/>
      </c>
      <c r="P31" s="13" t="str">
        <f aca="false">IF($A31="","",IF(AND(節數矩陣!P31&gt;0,配課表!P31=""),"⚠",""))</f>
        <v/>
      </c>
      <c r="Q31" s="13" t="str">
        <f aca="false">IF($A31="","",IF(AND(節數矩陣!Q31&gt;0,配課表!Q31=""),"⚠",""))</f>
        <v/>
      </c>
      <c r="R31" s="13" t="str">
        <f aca="false">IF($A31="","",IF(AND(節數矩陣!R31&gt;0,配課表!R31=""),"⚠",""))</f>
        <v/>
      </c>
      <c r="S31" s="13" t="str">
        <f aca="false">IF($A31="","",IF(AND(節數矩陣!S31&gt;0,配課表!S31=""),"⚠",""))</f>
        <v/>
      </c>
      <c r="T31" s="13" t="str">
        <f aca="false">IF($A31="","",IF(AND(節數矩陣!T31&gt;0,配課表!T31=""),"⚠",""))</f>
        <v/>
      </c>
      <c r="U31" s="13" t="str">
        <f aca="false">IF($A31="","",IF(AND(節數矩陣!U31&gt;0,配課表!U31=""),"⚠",""))</f>
        <v/>
      </c>
      <c r="V31" s="13" t="n">
        <f aca="false">IF($A31="",0,SUMPRODUCT((節數矩陣!$D31:$U31&gt;0)*(配課表!$D31:$U31="")*節數矩陣!$D31:$U31))</f>
        <v>0</v>
      </c>
    </row>
    <row r="32" customFormat="false" ht="15" hidden="false" customHeight="true" outlineLevel="0" collapsed="false">
      <c r="A32" s="13" t="str">
        <f aca="false">IF(班級基本資料!A32="","",班級基本資料!A32)</f>
        <v/>
      </c>
      <c r="B32" s="13" t="str">
        <f aca="false">IF(班級基本資料!A32="","",班級基本資料!B32)</f>
        <v/>
      </c>
      <c r="C32" s="13" t="str">
        <f aca="false">IF(班級基本資料!A32="","",班級基本資料!C32)</f>
        <v/>
      </c>
      <c r="D32" s="13" t="str">
        <f aca="false">IF($A32="","",IF(AND(節數矩陣!D32&gt;0,配課表!D32=""),"⚠",""))</f>
        <v/>
      </c>
      <c r="E32" s="13" t="str">
        <f aca="false">IF($A32="","",IF(AND(節數矩陣!E32&gt;0,配課表!E32=""),"⚠",""))</f>
        <v/>
      </c>
      <c r="F32" s="13" t="str">
        <f aca="false">IF($A32="","",IF(AND(節數矩陣!F32&gt;0,配課表!F32=""),"⚠",""))</f>
        <v/>
      </c>
      <c r="G32" s="13" t="str">
        <f aca="false">IF($A32="","",IF(AND(節數矩陣!G32&gt;0,配課表!G32=""),"⚠",""))</f>
        <v/>
      </c>
      <c r="H32" s="13" t="str">
        <f aca="false">IF($A32="","",IF(AND(節數矩陣!H32&gt;0,配課表!H32=""),"⚠",""))</f>
        <v/>
      </c>
      <c r="I32" s="13" t="str">
        <f aca="false">IF($A32="","",IF(AND(節數矩陣!I32&gt;0,配課表!I32=""),"⚠",""))</f>
        <v/>
      </c>
      <c r="J32" s="13" t="str">
        <f aca="false">IF($A32="","",IF(AND(節數矩陣!J32&gt;0,配課表!J32=""),"⚠",""))</f>
        <v/>
      </c>
      <c r="K32" s="13" t="str">
        <f aca="false">IF($A32="","",IF(AND(節數矩陣!K32&gt;0,配課表!K32=""),"⚠",""))</f>
        <v/>
      </c>
      <c r="L32" s="13" t="str">
        <f aca="false">IF($A32="","",IF(AND(節數矩陣!L32&gt;0,配課表!L32=""),"⚠",""))</f>
        <v/>
      </c>
      <c r="M32" s="13" t="str">
        <f aca="false">IF($A32="","",IF(AND(節數矩陣!M32&gt;0,配課表!M32=""),"⚠",""))</f>
        <v/>
      </c>
      <c r="N32" s="13" t="str">
        <f aca="false">IF($A32="","",IF(AND(節數矩陣!N32&gt;0,配課表!N32=""),"⚠",""))</f>
        <v/>
      </c>
      <c r="O32" s="13" t="str">
        <f aca="false">IF($A32="","",IF(AND(節數矩陣!O32&gt;0,配課表!O32=""),"⚠",""))</f>
        <v/>
      </c>
      <c r="P32" s="13" t="str">
        <f aca="false">IF($A32="","",IF(AND(節數矩陣!P32&gt;0,配課表!P32=""),"⚠",""))</f>
        <v/>
      </c>
      <c r="Q32" s="13" t="str">
        <f aca="false">IF($A32="","",IF(AND(節數矩陣!Q32&gt;0,配課表!Q32=""),"⚠",""))</f>
        <v/>
      </c>
      <c r="R32" s="13" t="str">
        <f aca="false">IF($A32="","",IF(AND(節數矩陣!R32&gt;0,配課表!R32=""),"⚠",""))</f>
        <v/>
      </c>
      <c r="S32" s="13" t="str">
        <f aca="false">IF($A32="","",IF(AND(節數矩陣!S32&gt;0,配課表!S32=""),"⚠",""))</f>
        <v/>
      </c>
      <c r="T32" s="13" t="str">
        <f aca="false">IF($A32="","",IF(AND(節數矩陣!T32&gt;0,配課表!T32=""),"⚠",""))</f>
        <v/>
      </c>
      <c r="U32" s="13" t="str">
        <f aca="false">IF($A32="","",IF(AND(節數矩陣!U32&gt;0,配課表!U32=""),"⚠",""))</f>
        <v/>
      </c>
      <c r="V32" s="13" t="n">
        <f aca="false">IF($A32="",0,SUMPRODUCT((節數矩陣!$D32:$U32&gt;0)*(配課表!$D32:$U32="")*節數矩陣!$D32:$U32))</f>
        <v>0</v>
      </c>
    </row>
    <row r="33" customFormat="false" ht="15" hidden="false" customHeight="true" outlineLevel="0" collapsed="false">
      <c r="A33" s="13" t="str">
        <f aca="false">IF(班級基本資料!A33="","",班級基本資料!A33)</f>
        <v/>
      </c>
      <c r="B33" s="13" t="str">
        <f aca="false">IF(班級基本資料!A33="","",班級基本資料!B33)</f>
        <v/>
      </c>
      <c r="C33" s="13" t="str">
        <f aca="false">IF(班級基本資料!A33="","",班級基本資料!C33)</f>
        <v/>
      </c>
      <c r="D33" s="13" t="str">
        <f aca="false">IF($A33="","",IF(AND(節數矩陣!D33&gt;0,配課表!D33=""),"⚠",""))</f>
        <v/>
      </c>
      <c r="E33" s="13" t="str">
        <f aca="false">IF($A33="","",IF(AND(節數矩陣!E33&gt;0,配課表!E33=""),"⚠",""))</f>
        <v/>
      </c>
      <c r="F33" s="13" t="str">
        <f aca="false">IF($A33="","",IF(AND(節數矩陣!F33&gt;0,配課表!F33=""),"⚠",""))</f>
        <v/>
      </c>
      <c r="G33" s="13" t="str">
        <f aca="false">IF($A33="","",IF(AND(節數矩陣!G33&gt;0,配課表!G33=""),"⚠",""))</f>
        <v/>
      </c>
      <c r="H33" s="13" t="str">
        <f aca="false">IF($A33="","",IF(AND(節數矩陣!H33&gt;0,配課表!H33=""),"⚠",""))</f>
        <v/>
      </c>
      <c r="I33" s="13" t="str">
        <f aca="false">IF($A33="","",IF(AND(節數矩陣!I33&gt;0,配課表!I33=""),"⚠",""))</f>
        <v/>
      </c>
      <c r="J33" s="13" t="str">
        <f aca="false">IF($A33="","",IF(AND(節數矩陣!J33&gt;0,配課表!J33=""),"⚠",""))</f>
        <v/>
      </c>
      <c r="K33" s="13" t="str">
        <f aca="false">IF($A33="","",IF(AND(節數矩陣!K33&gt;0,配課表!K33=""),"⚠",""))</f>
        <v/>
      </c>
      <c r="L33" s="13" t="str">
        <f aca="false">IF($A33="","",IF(AND(節數矩陣!L33&gt;0,配課表!L33=""),"⚠",""))</f>
        <v/>
      </c>
      <c r="M33" s="13" t="str">
        <f aca="false">IF($A33="","",IF(AND(節數矩陣!M33&gt;0,配課表!M33=""),"⚠",""))</f>
        <v/>
      </c>
      <c r="N33" s="13" t="str">
        <f aca="false">IF($A33="","",IF(AND(節數矩陣!N33&gt;0,配課表!N33=""),"⚠",""))</f>
        <v/>
      </c>
      <c r="O33" s="13" t="str">
        <f aca="false">IF($A33="","",IF(AND(節數矩陣!O33&gt;0,配課表!O33=""),"⚠",""))</f>
        <v/>
      </c>
      <c r="P33" s="13" t="str">
        <f aca="false">IF($A33="","",IF(AND(節數矩陣!P33&gt;0,配課表!P33=""),"⚠",""))</f>
        <v/>
      </c>
      <c r="Q33" s="13" t="str">
        <f aca="false">IF($A33="","",IF(AND(節數矩陣!Q33&gt;0,配課表!Q33=""),"⚠",""))</f>
        <v/>
      </c>
      <c r="R33" s="13" t="str">
        <f aca="false">IF($A33="","",IF(AND(節數矩陣!R33&gt;0,配課表!R33=""),"⚠",""))</f>
        <v/>
      </c>
      <c r="S33" s="13" t="str">
        <f aca="false">IF($A33="","",IF(AND(節數矩陣!S33&gt;0,配課表!S33=""),"⚠",""))</f>
        <v/>
      </c>
      <c r="T33" s="13" t="str">
        <f aca="false">IF($A33="","",IF(AND(節數矩陣!T33&gt;0,配課表!T33=""),"⚠",""))</f>
        <v/>
      </c>
      <c r="U33" s="13" t="str">
        <f aca="false">IF($A33="","",IF(AND(節數矩陣!U33&gt;0,配課表!U33=""),"⚠",""))</f>
        <v/>
      </c>
      <c r="V33" s="13" t="n">
        <f aca="false">IF($A33="",0,SUMPRODUCT((節數矩陣!$D33:$U33&gt;0)*(配課表!$D33:$U33="")*節數矩陣!$D33:$U33))</f>
        <v>0</v>
      </c>
    </row>
    <row r="34" customFormat="false" ht="15" hidden="false" customHeight="true" outlineLevel="0" collapsed="false">
      <c r="A34" s="13" t="str">
        <f aca="false">IF(班級基本資料!A34="","",班級基本資料!A34)</f>
        <v/>
      </c>
      <c r="B34" s="13" t="str">
        <f aca="false">IF(班級基本資料!A34="","",班級基本資料!B34)</f>
        <v/>
      </c>
      <c r="C34" s="13" t="str">
        <f aca="false">IF(班級基本資料!A34="","",班級基本資料!C34)</f>
        <v/>
      </c>
      <c r="D34" s="13" t="str">
        <f aca="false">IF($A34="","",IF(AND(節數矩陣!D34&gt;0,配課表!D34=""),"⚠",""))</f>
        <v/>
      </c>
      <c r="E34" s="13" t="str">
        <f aca="false">IF($A34="","",IF(AND(節數矩陣!E34&gt;0,配課表!E34=""),"⚠",""))</f>
        <v/>
      </c>
      <c r="F34" s="13" t="str">
        <f aca="false">IF($A34="","",IF(AND(節數矩陣!F34&gt;0,配課表!F34=""),"⚠",""))</f>
        <v/>
      </c>
      <c r="G34" s="13" t="str">
        <f aca="false">IF($A34="","",IF(AND(節數矩陣!G34&gt;0,配課表!G34=""),"⚠",""))</f>
        <v/>
      </c>
      <c r="H34" s="13" t="str">
        <f aca="false">IF($A34="","",IF(AND(節數矩陣!H34&gt;0,配課表!H34=""),"⚠",""))</f>
        <v/>
      </c>
      <c r="I34" s="13" t="str">
        <f aca="false">IF($A34="","",IF(AND(節數矩陣!I34&gt;0,配課表!I34=""),"⚠",""))</f>
        <v/>
      </c>
      <c r="J34" s="13" t="str">
        <f aca="false">IF($A34="","",IF(AND(節數矩陣!J34&gt;0,配課表!J34=""),"⚠",""))</f>
        <v/>
      </c>
      <c r="K34" s="13" t="str">
        <f aca="false">IF($A34="","",IF(AND(節數矩陣!K34&gt;0,配課表!K34=""),"⚠",""))</f>
        <v/>
      </c>
      <c r="L34" s="13" t="str">
        <f aca="false">IF($A34="","",IF(AND(節數矩陣!L34&gt;0,配課表!L34=""),"⚠",""))</f>
        <v/>
      </c>
      <c r="M34" s="13" t="str">
        <f aca="false">IF($A34="","",IF(AND(節數矩陣!M34&gt;0,配課表!M34=""),"⚠",""))</f>
        <v/>
      </c>
      <c r="N34" s="13" t="str">
        <f aca="false">IF($A34="","",IF(AND(節數矩陣!N34&gt;0,配課表!N34=""),"⚠",""))</f>
        <v/>
      </c>
      <c r="O34" s="13" t="str">
        <f aca="false">IF($A34="","",IF(AND(節數矩陣!O34&gt;0,配課表!O34=""),"⚠",""))</f>
        <v/>
      </c>
      <c r="P34" s="13" t="str">
        <f aca="false">IF($A34="","",IF(AND(節數矩陣!P34&gt;0,配課表!P34=""),"⚠",""))</f>
        <v/>
      </c>
      <c r="Q34" s="13" t="str">
        <f aca="false">IF($A34="","",IF(AND(節數矩陣!Q34&gt;0,配課表!Q34=""),"⚠",""))</f>
        <v/>
      </c>
      <c r="R34" s="13" t="str">
        <f aca="false">IF($A34="","",IF(AND(節數矩陣!R34&gt;0,配課表!R34=""),"⚠",""))</f>
        <v/>
      </c>
      <c r="S34" s="13" t="str">
        <f aca="false">IF($A34="","",IF(AND(節數矩陣!S34&gt;0,配課表!S34=""),"⚠",""))</f>
        <v/>
      </c>
      <c r="T34" s="13" t="str">
        <f aca="false">IF($A34="","",IF(AND(節數矩陣!T34&gt;0,配課表!T34=""),"⚠",""))</f>
        <v/>
      </c>
      <c r="U34" s="13" t="str">
        <f aca="false">IF($A34="","",IF(AND(節數矩陣!U34&gt;0,配課表!U34=""),"⚠",""))</f>
        <v/>
      </c>
      <c r="V34" s="13" t="n">
        <f aca="false">IF($A34="",0,SUMPRODUCT((節數矩陣!$D34:$U34&gt;0)*(配課表!$D34:$U34="")*節數矩陣!$D34:$U34))</f>
        <v>0</v>
      </c>
    </row>
    <row r="35" customFormat="false" ht="15" hidden="false" customHeight="true" outlineLevel="0" collapsed="false">
      <c r="A35" s="13" t="str">
        <f aca="false">IF(班級基本資料!A35="","",班級基本資料!A35)</f>
        <v/>
      </c>
      <c r="B35" s="13" t="str">
        <f aca="false">IF(班級基本資料!A35="","",班級基本資料!B35)</f>
        <v/>
      </c>
      <c r="C35" s="13" t="str">
        <f aca="false">IF(班級基本資料!A35="","",班級基本資料!C35)</f>
        <v/>
      </c>
      <c r="D35" s="13" t="str">
        <f aca="false">IF($A35="","",IF(AND(節數矩陣!D35&gt;0,配課表!D35=""),"⚠",""))</f>
        <v/>
      </c>
      <c r="E35" s="13" t="str">
        <f aca="false">IF($A35="","",IF(AND(節數矩陣!E35&gt;0,配課表!E35=""),"⚠",""))</f>
        <v/>
      </c>
      <c r="F35" s="13" t="str">
        <f aca="false">IF($A35="","",IF(AND(節數矩陣!F35&gt;0,配課表!F35=""),"⚠",""))</f>
        <v/>
      </c>
      <c r="G35" s="13" t="str">
        <f aca="false">IF($A35="","",IF(AND(節數矩陣!G35&gt;0,配課表!G35=""),"⚠",""))</f>
        <v/>
      </c>
      <c r="H35" s="13" t="str">
        <f aca="false">IF($A35="","",IF(AND(節數矩陣!H35&gt;0,配課表!H35=""),"⚠",""))</f>
        <v/>
      </c>
      <c r="I35" s="13" t="str">
        <f aca="false">IF($A35="","",IF(AND(節數矩陣!I35&gt;0,配課表!I35=""),"⚠",""))</f>
        <v/>
      </c>
      <c r="J35" s="13" t="str">
        <f aca="false">IF($A35="","",IF(AND(節數矩陣!J35&gt;0,配課表!J35=""),"⚠",""))</f>
        <v/>
      </c>
      <c r="K35" s="13" t="str">
        <f aca="false">IF($A35="","",IF(AND(節數矩陣!K35&gt;0,配課表!K35=""),"⚠",""))</f>
        <v/>
      </c>
      <c r="L35" s="13" t="str">
        <f aca="false">IF($A35="","",IF(AND(節數矩陣!L35&gt;0,配課表!L35=""),"⚠",""))</f>
        <v/>
      </c>
      <c r="M35" s="13" t="str">
        <f aca="false">IF($A35="","",IF(AND(節數矩陣!M35&gt;0,配課表!M35=""),"⚠",""))</f>
        <v/>
      </c>
      <c r="N35" s="13" t="str">
        <f aca="false">IF($A35="","",IF(AND(節數矩陣!N35&gt;0,配課表!N35=""),"⚠",""))</f>
        <v/>
      </c>
      <c r="O35" s="13" t="str">
        <f aca="false">IF($A35="","",IF(AND(節數矩陣!O35&gt;0,配課表!O35=""),"⚠",""))</f>
        <v/>
      </c>
      <c r="P35" s="13" t="str">
        <f aca="false">IF($A35="","",IF(AND(節數矩陣!P35&gt;0,配課表!P35=""),"⚠",""))</f>
        <v/>
      </c>
      <c r="Q35" s="13" t="str">
        <f aca="false">IF($A35="","",IF(AND(節數矩陣!Q35&gt;0,配課表!Q35=""),"⚠",""))</f>
        <v/>
      </c>
      <c r="R35" s="13" t="str">
        <f aca="false">IF($A35="","",IF(AND(節數矩陣!R35&gt;0,配課表!R35=""),"⚠",""))</f>
        <v/>
      </c>
      <c r="S35" s="13" t="str">
        <f aca="false">IF($A35="","",IF(AND(節數矩陣!S35&gt;0,配課表!S35=""),"⚠",""))</f>
        <v/>
      </c>
      <c r="T35" s="13" t="str">
        <f aca="false">IF($A35="","",IF(AND(節數矩陣!T35&gt;0,配課表!T35=""),"⚠",""))</f>
        <v/>
      </c>
      <c r="U35" s="13" t="str">
        <f aca="false">IF($A35="","",IF(AND(節數矩陣!U35&gt;0,配課表!U35=""),"⚠",""))</f>
        <v/>
      </c>
      <c r="V35" s="13" t="n">
        <f aca="false">IF($A35="",0,SUMPRODUCT((節數矩陣!$D35:$U35&gt;0)*(配課表!$D35:$U35="")*節數矩陣!$D35:$U35))</f>
        <v>0</v>
      </c>
    </row>
    <row r="36" customFormat="false" ht="15" hidden="false" customHeight="true" outlineLevel="0" collapsed="false">
      <c r="A36" s="13" t="str">
        <f aca="false">IF(班級基本資料!A36="","",班級基本資料!A36)</f>
        <v/>
      </c>
      <c r="B36" s="13" t="str">
        <f aca="false">IF(班級基本資料!A36="","",班級基本資料!B36)</f>
        <v/>
      </c>
      <c r="C36" s="13" t="str">
        <f aca="false">IF(班級基本資料!A36="","",班級基本資料!C36)</f>
        <v/>
      </c>
      <c r="D36" s="13" t="str">
        <f aca="false">IF($A36="","",IF(AND(節數矩陣!D36&gt;0,配課表!D36=""),"⚠",""))</f>
        <v/>
      </c>
      <c r="E36" s="13" t="str">
        <f aca="false">IF($A36="","",IF(AND(節數矩陣!E36&gt;0,配課表!E36=""),"⚠",""))</f>
        <v/>
      </c>
      <c r="F36" s="13" t="str">
        <f aca="false">IF($A36="","",IF(AND(節數矩陣!F36&gt;0,配課表!F36=""),"⚠",""))</f>
        <v/>
      </c>
      <c r="G36" s="13" t="str">
        <f aca="false">IF($A36="","",IF(AND(節數矩陣!G36&gt;0,配課表!G36=""),"⚠",""))</f>
        <v/>
      </c>
      <c r="H36" s="13" t="str">
        <f aca="false">IF($A36="","",IF(AND(節數矩陣!H36&gt;0,配課表!H36=""),"⚠",""))</f>
        <v/>
      </c>
      <c r="I36" s="13" t="str">
        <f aca="false">IF($A36="","",IF(AND(節數矩陣!I36&gt;0,配課表!I36=""),"⚠",""))</f>
        <v/>
      </c>
      <c r="J36" s="13" t="str">
        <f aca="false">IF($A36="","",IF(AND(節數矩陣!J36&gt;0,配課表!J36=""),"⚠",""))</f>
        <v/>
      </c>
      <c r="K36" s="13" t="str">
        <f aca="false">IF($A36="","",IF(AND(節數矩陣!K36&gt;0,配課表!K36=""),"⚠",""))</f>
        <v/>
      </c>
      <c r="L36" s="13" t="str">
        <f aca="false">IF($A36="","",IF(AND(節數矩陣!L36&gt;0,配課表!L36=""),"⚠",""))</f>
        <v/>
      </c>
      <c r="M36" s="13" t="str">
        <f aca="false">IF($A36="","",IF(AND(節數矩陣!M36&gt;0,配課表!M36=""),"⚠",""))</f>
        <v/>
      </c>
      <c r="N36" s="13" t="str">
        <f aca="false">IF($A36="","",IF(AND(節數矩陣!N36&gt;0,配課表!N36=""),"⚠",""))</f>
        <v/>
      </c>
      <c r="O36" s="13" t="str">
        <f aca="false">IF($A36="","",IF(AND(節數矩陣!O36&gt;0,配課表!O36=""),"⚠",""))</f>
        <v/>
      </c>
      <c r="P36" s="13" t="str">
        <f aca="false">IF($A36="","",IF(AND(節數矩陣!P36&gt;0,配課表!P36=""),"⚠",""))</f>
        <v/>
      </c>
      <c r="Q36" s="13" t="str">
        <f aca="false">IF($A36="","",IF(AND(節數矩陣!Q36&gt;0,配課表!Q36=""),"⚠",""))</f>
        <v/>
      </c>
      <c r="R36" s="13" t="str">
        <f aca="false">IF($A36="","",IF(AND(節數矩陣!R36&gt;0,配課表!R36=""),"⚠",""))</f>
        <v/>
      </c>
      <c r="S36" s="13" t="str">
        <f aca="false">IF($A36="","",IF(AND(節數矩陣!S36&gt;0,配課表!S36=""),"⚠",""))</f>
        <v/>
      </c>
      <c r="T36" s="13" t="str">
        <f aca="false">IF($A36="","",IF(AND(節數矩陣!T36&gt;0,配課表!T36=""),"⚠",""))</f>
        <v/>
      </c>
      <c r="U36" s="13" t="str">
        <f aca="false">IF($A36="","",IF(AND(節數矩陣!U36&gt;0,配課表!U36=""),"⚠",""))</f>
        <v/>
      </c>
      <c r="V36" s="13" t="n">
        <f aca="false">IF($A36="",0,SUMPRODUCT((節數矩陣!$D36:$U36&gt;0)*(配課表!$D36:$U36="")*節數矩陣!$D36:$U36))</f>
        <v>0</v>
      </c>
    </row>
    <row r="37" customFormat="false" ht="15" hidden="false" customHeight="true" outlineLevel="0" collapsed="false">
      <c r="A37" s="13" t="str">
        <f aca="false">IF(班級基本資料!A37="","",班級基本資料!A37)</f>
        <v/>
      </c>
      <c r="B37" s="13" t="str">
        <f aca="false">IF(班級基本資料!A37="","",班級基本資料!B37)</f>
        <v/>
      </c>
      <c r="C37" s="13" t="str">
        <f aca="false">IF(班級基本資料!A37="","",班級基本資料!C37)</f>
        <v/>
      </c>
      <c r="D37" s="13" t="str">
        <f aca="false">IF($A37="","",IF(AND(節數矩陣!D37&gt;0,配課表!D37=""),"⚠",""))</f>
        <v/>
      </c>
      <c r="E37" s="13" t="str">
        <f aca="false">IF($A37="","",IF(AND(節數矩陣!E37&gt;0,配課表!E37=""),"⚠",""))</f>
        <v/>
      </c>
      <c r="F37" s="13" t="str">
        <f aca="false">IF($A37="","",IF(AND(節數矩陣!F37&gt;0,配課表!F37=""),"⚠",""))</f>
        <v/>
      </c>
      <c r="G37" s="13" t="str">
        <f aca="false">IF($A37="","",IF(AND(節數矩陣!G37&gt;0,配課表!G37=""),"⚠",""))</f>
        <v/>
      </c>
      <c r="H37" s="13" t="str">
        <f aca="false">IF($A37="","",IF(AND(節數矩陣!H37&gt;0,配課表!H37=""),"⚠",""))</f>
        <v/>
      </c>
      <c r="I37" s="13" t="str">
        <f aca="false">IF($A37="","",IF(AND(節數矩陣!I37&gt;0,配課表!I37=""),"⚠",""))</f>
        <v/>
      </c>
      <c r="J37" s="13" t="str">
        <f aca="false">IF($A37="","",IF(AND(節數矩陣!J37&gt;0,配課表!J37=""),"⚠",""))</f>
        <v/>
      </c>
      <c r="K37" s="13" t="str">
        <f aca="false">IF($A37="","",IF(AND(節數矩陣!K37&gt;0,配課表!K37=""),"⚠",""))</f>
        <v/>
      </c>
      <c r="L37" s="13" t="str">
        <f aca="false">IF($A37="","",IF(AND(節數矩陣!L37&gt;0,配課表!L37=""),"⚠",""))</f>
        <v/>
      </c>
      <c r="M37" s="13" t="str">
        <f aca="false">IF($A37="","",IF(AND(節數矩陣!M37&gt;0,配課表!M37=""),"⚠",""))</f>
        <v/>
      </c>
      <c r="N37" s="13" t="str">
        <f aca="false">IF($A37="","",IF(AND(節數矩陣!N37&gt;0,配課表!N37=""),"⚠",""))</f>
        <v/>
      </c>
      <c r="O37" s="13" t="str">
        <f aca="false">IF($A37="","",IF(AND(節數矩陣!O37&gt;0,配課表!O37=""),"⚠",""))</f>
        <v/>
      </c>
      <c r="P37" s="13" t="str">
        <f aca="false">IF($A37="","",IF(AND(節數矩陣!P37&gt;0,配課表!P37=""),"⚠",""))</f>
        <v/>
      </c>
      <c r="Q37" s="13" t="str">
        <f aca="false">IF($A37="","",IF(AND(節數矩陣!Q37&gt;0,配課表!Q37=""),"⚠",""))</f>
        <v/>
      </c>
      <c r="R37" s="13" t="str">
        <f aca="false">IF($A37="","",IF(AND(節數矩陣!R37&gt;0,配課表!R37=""),"⚠",""))</f>
        <v/>
      </c>
      <c r="S37" s="13" t="str">
        <f aca="false">IF($A37="","",IF(AND(節數矩陣!S37&gt;0,配課表!S37=""),"⚠",""))</f>
        <v/>
      </c>
      <c r="T37" s="13" t="str">
        <f aca="false">IF($A37="","",IF(AND(節數矩陣!T37&gt;0,配課表!T37=""),"⚠",""))</f>
        <v/>
      </c>
      <c r="U37" s="13" t="str">
        <f aca="false">IF($A37="","",IF(AND(節數矩陣!U37&gt;0,配課表!U37=""),"⚠",""))</f>
        <v/>
      </c>
      <c r="V37" s="13" t="n">
        <f aca="false">IF($A37="",0,SUMPRODUCT((節數矩陣!$D37:$U37&gt;0)*(配課表!$D37:$U37="")*節數矩陣!$D37:$U37))</f>
        <v>0</v>
      </c>
    </row>
    <row r="38" customFormat="false" ht="15" hidden="false" customHeight="true" outlineLevel="0" collapsed="false">
      <c r="A38" s="13" t="str">
        <f aca="false">IF(班級基本資料!A38="","",班級基本資料!A38)</f>
        <v/>
      </c>
      <c r="B38" s="13" t="str">
        <f aca="false">IF(班級基本資料!A38="","",班級基本資料!B38)</f>
        <v/>
      </c>
      <c r="C38" s="13" t="str">
        <f aca="false">IF(班級基本資料!A38="","",班級基本資料!C38)</f>
        <v/>
      </c>
      <c r="D38" s="13" t="str">
        <f aca="false">IF($A38="","",IF(AND(節數矩陣!D38&gt;0,配課表!D38=""),"⚠",""))</f>
        <v/>
      </c>
      <c r="E38" s="13" t="str">
        <f aca="false">IF($A38="","",IF(AND(節數矩陣!E38&gt;0,配課表!E38=""),"⚠",""))</f>
        <v/>
      </c>
      <c r="F38" s="13" t="str">
        <f aca="false">IF($A38="","",IF(AND(節數矩陣!F38&gt;0,配課表!F38=""),"⚠",""))</f>
        <v/>
      </c>
      <c r="G38" s="13" t="str">
        <f aca="false">IF($A38="","",IF(AND(節數矩陣!G38&gt;0,配課表!G38=""),"⚠",""))</f>
        <v/>
      </c>
      <c r="H38" s="13" t="str">
        <f aca="false">IF($A38="","",IF(AND(節數矩陣!H38&gt;0,配課表!H38=""),"⚠",""))</f>
        <v/>
      </c>
      <c r="I38" s="13" t="str">
        <f aca="false">IF($A38="","",IF(AND(節數矩陣!I38&gt;0,配課表!I38=""),"⚠",""))</f>
        <v/>
      </c>
      <c r="J38" s="13" t="str">
        <f aca="false">IF($A38="","",IF(AND(節數矩陣!J38&gt;0,配課表!J38=""),"⚠",""))</f>
        <v/>
      </c>
      <c r="K38" s="13" t="str">
        <f aca="false">IF($A38="","",IF(AND(節數矩陣!K38&gt;0,配課表!K38=""),"⚠",""))</f>
        <v/>
      </c>
      <c r="L38" s="13" t="str">
        <f aca="false">IF($A38="","",IF(AND(節數矩陣!L38&gt;0,配課表!L38=""),"⚠",""))</f>
        <v/>
      </c>
      <c r="M38" s="13" t="str">
        <f aca="false">IF($A38="","",IF(AND(節數矩陣!M38&gt;0,配課表!M38=""),"⚠",""))</f>
        <v/>
      </c>
      <c r="N38" s="13" t="str">
        <f aca="false">IF($A38="","",IF(AND(節數矩陣!N38&gt;0,配課表!N38=""),"⚠",""))</f>
        <v/>
      </c>
      <c r="O38" s="13" t="str">
        <f aca="false">IF($A38="","",IF(AND(節數矩陣!O38&gt;0,配課表!O38=""),"⚠",""))</f>
        <v/>
      </c>
      <c r="P38" s="13" t="str">
        <f aca="false">IF($A38="","",IF(AND(節數矩陣!P38&gt;0,配課表!P38=""),"⚠",""))</f>
        <v/>
      </c>
      <c r="Q38" s="13" t="str">
        <f aca="false">IF($A38="","",IF(AND(節數矩陣!Q38&gt;0,配課表!Q38=""),"⚠",""))</f>
        <v/>
      </c>
      <c r="R38" s="13" t="str">
        <f aca="false">IF($A38="","",IF(AND(節數矩陣!R38&gt;0,配課表!R38=""),"⚠",""))</f>
        <v/>
      </c>
      <c r="S38" s="13" t="str">
        <f aca="false">IF($A38="","",IF(AND(節數矩陣!S38&gt;0,配課表!S38=""),"⚠",""))</f>
        <v/>
      </c>
      <c r="T38" s="13" t="str">
        <f aca="false">IF($A38="","",IF(AND(節數矩陣!T38&gt;0,配課表!T38=""),"⚠",""))</f>
        <v/>
      </c>
      <c r="U38" s="13" t="str">
        <f aca="false">IF($A38="","",IF(AND(節數矩陣!U38&gt;0,配課表!U38=""),"⚠",""))</f>
        <v/>
      </c>
      <c r="V38" s="13" t="n">
        <f aca="false">IF($A38="",0,SUMPRODUCT((節數矩陣!$D38:$U38&gt;0)*(配課表!$D38:$U38="")*節數矩陣!$D38:$U38))</f>
        <v>0</v>
      </c>
    </row>
    <row r="39" customFormat="false" ht="15" hidden="false" customHeight="true" outlineLevel="0" collapsed="false">
      <c r="A39" s="13" t="str">
        <f aca="false">IF(班級基本資料!A39="","",班級基本資料!A39)</f>
        <v/>
      </c>
      <c r="B39" s="13" t="str">
        <f aca="false">IF(班級基本資料!A39="","",班級基本資料!B39)</f>
        <v/>
      </c>
      <c r="C39" s="13" t="str">
        <f aca="false">IF(班級基本資料!A39="","",班級基本資料!C39)</f>
        <v/>
      </c>
      <c r="D39" s="13" t="str">
        <f aca="false">IF($A39="","",IF(AND(節數矩陣!D39&gt;0,配課表!D39=""),"⚠",""))</f>
        <v/>
      </c>
      <c r="E39" s="13" t="str">
        <f aca="false">IF($A39="","",IF(AND(節數矩陣!E39&gt;0,配課表!E39=""),"⚠",""))</f>
        <v/>
      </c>
      <c r="F39" s="13" t="str">
        <f aca="false">IF($A39="","",IF(AND(節數矩陣!F39&gt;0,配課表!F39=""),"⚠",""))</f>
        <v/>
      </c>
      <c r="G39" s="13" t="str">
        <f aca="false">IF($A39="","",IF(AND(節數矩陣!G39&gt;0,配課表!G39=""),"⚠",""))</f>
        <v/>
      </c>
      <c r="H39" s="13" t="str">
        <f aca="false">IF($A39="","",IF(AND(節數矩陣!H39&gt;0,配課表!H39=""),"⚠",""))</f>
        <v/>
      </c>
      <c r="I39" s="13" t="str">
        <f aca="false">IF($A39="","",IF(AND(節數矩陣!I39&gt;0,配課表!I39=""),"⚠",""))</f>
        <v/>
      </c>
      <c r="J39" s="13" t="str">
        <f aca="false">IF($A39="","",IF(AND(節數矩陣!J39&gt;0,配課表!J39=""),"⚠",""))</f>
        <v/>
      </c>
      <c r="K39" s="13" t="str">
        <f aca="false">IF($A39="","",IF(AND(節數矩陣!K39&gt;0,配課表!K39=""),"⚠",""))</f>
        <v/>
      </c>
      <c r="L39" s="13" t="str">
        <f aca="false">IF($A39="","",IF(AND(節數矩陣!L39&gt;0,配課表!L39=""),"⚠",""))</f>
        <v/>
      </c>
      <c r="M39" s="13" t="str">
        <f aca="false">IF($A39="","",IF(AND(節數矩陣!M39&gt;0,配課表!M39=""),"⚠",""))</f>
        <v/>
      </c>
      <c r="N39" s="13" t="str">
        <f aca="false">IF($A39="","",IF(AND(節數矩陣!N39&gt;0,配課表!N39=""),"⚠",""))</f>
        <v/>
      </c>
      <c r="O39" s="13" t="str">
        <f aca="false">IF($A39="","",IF(AND(節數矩陣!O39&gt;0,配課表!O39=""),"⚠",""))</f>
        <v/>
      </c>
      <c r="P39" s="13" t="str">
        <f aca="false">IF($A39="","",IF(AND(節數矩陣!P39&gt;0,配課表!P39=""),"⚠",""))</f>
        <v/>
      </c>
      <c r="Q39" s="13" t="str">
        <f aca="false">IF($A39="","",IF(AND(節數矩陣!Q39&gt;0,配課表!Q39=""),"⚠",""))</f>
        <v/>
      </c>
      <c r="R39" s="13" t="str">
        <f aca="false">IF($A39="","",IF(AND(節數矩陣!R39&gt;0,配課表!R39=""),"⚠",""))</f>
        <v/>
      </c>
      <c r="S39" s="13" t="str">
        <f aca="false">IF($A39="","",IF(AND(節數矩陣!S39&gt;0,配課表!S39=""),"⚠",""))</f>
        <v/>
      </c>
      <c r="T39" s="13" t="str">
        <f aca="false">IF($A39="","",IF(AND(節數矩陣!T39&gt;0,配課表!T39=""),"⚠",""))</f>
        <v/>
      </c>
      <c r="U39" s="13" t="str">
        <f aca="false">IF($A39="","",IF(AND(節數矩陣!U39&gt;0,配課表!U39=""),"⚠",""))</f>
        <v/>
      </c>
      <c r="V39" s="13" t="n">
        <f aca="false">IF($A39="",0,SUMPRODUCT((節數矩陣!$D39:$U39&gt;0)*(配課表!$D39:$U39="")*節數矩陣!$D39:$U39))</f>
        <v>0</v>
      </c>
    </row>
    <row r="40" customFormat="false" ht="15" hidden="false" customHeight="true" outlineLevel="0" collapsed="false">
      <c r="A40" s="13" t="str">
        <f aca="false">IF(班級基本資料!A40="","",班級基本資料!A40)</f>
        <v/>
      </c>
      <c r="B40" s="13" t="str">
        <f aca="false">IF(班級基本資料!A40="","",班級基本資料!B40)</f>
        <v/>
      </c>
      <c r="C40" s="13" t="str">
        <f aca="false">IF(班級基本資料!A40="","",班級基本資料!C40)</f>
        <v/>
      </c>
      <c r="D40" s="13" t="str">
        <f aca="false">IF($A40="","",IF(AND(節數矩陣!D40&gt;0,配課表!D40=""),"⚠",""))</f>
        <v/>
      </c>
      <c r="E40" s="13" t="str">
        <f aca="false">IF($A40="","",IF(AND(節數矩陣!E40&gt;0,配課表!E40=""),"⚠",""))</f>
        <v/>
      </c>
      <c r="F40" s="13" t="str">
        <f aca="false">IF($A40="","",IF(AND(節數矩陣!F40&gt;0,配課表!F40=""),"⚠",""))</f>
        <v/>
      </c>
      <c r="G40" s="13" t="str">
        <f aca="false">IF($A40="","",IF(AND(節數矩陣!G40&gt;0,配課表!G40=""),"⚠",""))</f>
        <v/>
      </c>
      <c r="H40" s="13" t="str">
        <f aca="false">IF($A40="","",IF(AND(節數矩陣!H40&gt;0,配課表!H40=""),"⚠",""))</f>
        <v/>
      </c>
      <c r="I40" s="13" t="str">
        <f aca="false">IF($A40="","",IF(AND(節數矩陣!I40&gt;0,配課表!I40=""),"⚠",""))</f>
        <v/>
      </c>
      <c r="J40" s="13" t="str">
        <f aca="false">IF($A40="","",IF(AND(節數矩陣!J40&gt;0,配課表!J40=""),"⚠",""))</f>
        <v/>
      </c>
      <c r="K40" s="13" t="str">
        <f aca="false">IF($A40="","",IF(AND(節數矩陣!K40&gt;0,配課表!K40=""),"⚠",""))</f>
        <v/>
      </c>
      <c r="L40" s="13" t="str">
        <f aca="false">IF($A40="","",IF(AND(節數矩陣!L40&gt;0,配課表!L40=""),"⚠",""))</f>
        <v/>
      </c>
      <c r="M40" s="13" t="str">
        <f aca="false">IF($A40="","",IF(AND(節數矩陣!M40&gt;0,配課表!M40=""),"⚠",""))</f>
        <v/>
      </c>
      <c r="N40" s="13" t="str">
        <f aca="false">IF($A40="","",IF(AND(節數矩陣!N40&gt;0,配課表!N40=""),"⚠",""))</f>
        <v/>
      </c>
      <c r="O40" s="13" t="str">
        <f aca="false">IF($A40="","",IF(AND(節數矩陣!O40&gt;0,配課表!O40=""),"⚠",""))</f>
        <v/>
      </c>
      <c r="P40" s="13" t="str">
        <f aca="false">IF($A40="","",IF(AND(節數矩陣!P40&gt;0,配課表!P40=""),"⚠",""))</f>
        <v/>
      </c>
      <c r="Q40" s="13" t="str">
        <f aca="false">IF($A40="","",IF(AND(節數矩陣!Q40&gt;0,配課表!Q40=""),"⚠",""))</f>
        <v/>
      </c>
      <c r="R40" s="13" t="str">
        <f aca="false">IF($A40="","",IF(AND(節數矩陣!R40&gt;0,配課表!R40=""),"⚠",""))</f>
        <v/>
      </c>
      <c r="S40" s="13" t="str">
        <f aca="false">IF($A40="","",IF(AND(節數矩陣!S40&gt;0,配課表!S40=""),"⚠",""))</f>
        <v/>
      </c>
      <c r="T40" s="13" t="str">
        <f aca="false">IF($A40="","",IF(AND(節數矩陣!T40&gt;0,配課表!T40=""),"⚠",""))</f>
        <v/>
      </c>
      <c r="U40" s="13" t="str">
        <f aca="false">IF($A40="","",IF(AND(節數矩陣!U40&gt;0,配課表!U40=""),"⚠",""))</f>
        <v/>
      </c>
      <c r="V40" s="13" t="n">
        <f aca="false">IF($A40="",0,SUMPRODUCT((節數矩陣!$D40:$U40&gt;0)*(配課表!$D40:$U40="")*節數矩陣!$D40:$U40))</f>
        <v>0</v>
      </c>
    </row>
    <row r="41" customFormat="false" ht="15" hidden="false" customHeight="true" outlineLevel="0" collapsed="false">
      <c r="A41" s="13" t="str">
        <f aca="false">IF(班級基本資料!A41="","",班級基本資料!A41)</f>
        <v/>
      </c>
      <c r="B41" s="13" t="str">
        <f aca="false">IF(班級基本資料!A41="","",班級基本資料!B41)</f>
        <v/>
      </c>
      <c r="C41" s="13" t="str">
        <f aca="false">IF(班級基本資料!A41="","",班級基本資料!C41)</f>
        <v/>
      </c>
      <c r="D41" s="13" t="str">
        <f aca="false">IF($A41="","",IF(AND(節數矩陣!D41&gt;0,配課表!D41=""),"⚠",""))</f>
        <v/>
      </c>
      <c r="E41" s="13" t="str">
        <f aca="false">IF($A41="","",IF(AND(節數矩陣!E41&gt;0,配課表!E41=""),"⚠",""))</f>
        <v/>
      </c>
      <c r="F41" s="13" t="str">
        <f aca="false">IF($A41="","",IF(AND(節數矩陣!F41&gt;0,配課表!F41=""),"⚠",""))</f>
        <v/>
      </c>
      <c r="G41" s="13" t="str">
        <f aca="false">IF($A41="","",IF(AND(節數矩陣!G41&gt;0,配課表!G41=""),"⚠",""))</f>
        <v/>
      </c>
      <c r="H41" s="13" t="str">
        <f aca="false">IF($A41="","",IF(AND(節數矩陣!H41&gt;0,配課表!H41=""),"⚠",""))</f>
        <v/>
      </c>
      <c r="I41" s="13" t="str">
        <f aca="false">IF($A41="","",IF(AND(節數矩陣!I41&gt;0,配課表!I41=""),"⚠",""))</f>
        <v/>
      </c>
      <c r="J41" s="13" t="str">
        <f aca="false">IF($A41="","",IF(AND(節數矩陣!J41&gt;0,配課表!J41=""),"⚠",""))</f>
        <v/>
      </c>
      <c r="K41" s="13" t="str">
        <f aca="false">IF($A41="","",IF(AND(節數矩陣!K41&gt;0,配課表!K41=""),"⚠",""))</f>
        <v/>
      </c>
      <c r="L41" s="13" t="str">
        <f aca="false">IF($A41="","",IF(AND(節數矩陣!L41&gt;0,配課表!L41=""),"⚠",""))</f>
        <v/>
      </c>
      <c r="M41" s="13" t="str">
        <f aca="false">IF($A41="","",IF(AND(節數矩陣!M41&gt;0,配課表!M41=""),"⚠",""))</f>
        <v/>
      </c>
      <c r="N41" s="13" t="str">
        <f aca="false">IF($A41="","",IF(AND(節數矩陣!N41&gt;0,配課表!N41=""),"⚠",""))</f>
        <v/>
      </c>
      <c r="O41" s="13" t="str">
        <f aca="false">IF($A41="","",IF(AND(節數矩陣!O41&gt;0,配課表!O41=""),"⚠",""))</f>
        <v/>
      </c>
      <c r="P41" s="13" t="str">
        <f aca="false">IF($A41="","",IF(AND(節數矩陣!P41&gt;0,配課表!P41=""),"⚠",""))</f>
        <v/>
      </c>
      <c r="Q41" s="13" t="str">
        <f aca="false">IF($A41="","",IF(AND(節數矩陣!Q41&gt;0,配課表!Q41=""),"⚠",""))</f>
        <v/>
      </c>
      <c r="R41" s="13" t="str">
        <f aca="false">IF($A41="","",IF(AND(節數矩陣!R41&gt;0,配課表!R41=""),"⚠",""))</f>
        <v/>
      </c>
      <c r="S41" s="13" t="str">
        <f aca="false">IF($A41="","",IF(AND(節數矩陣!S41&gt;0,配課表!S41=""),"⚠",""))</f>
        <v/>
      </c>
      <c r="T41" s="13" t="str">
        <f aca="false">IF($A41="","",IF(AND(節數矩陣!T41&gt;0,配課表!T41=""),"⚠",""))</f>
        <v/>
      </c>
      <c r="U41" s="13" t="str">
        <f aca="false">IF($A41="","",IF(AND(節數矩陣!U41&gt;0,配課表!U41=""),"⚠",""))</f>
        <v/>
      </c>
      <c r="V41" s="13" t="n">
        <f aca="false">IF($A41="",0,SUMPRODUCT((節數矩陣!$D41:$U41&gt;0)*(配課表!$D41:$U41="")*節數矩陣!$D41:$U41))</f>
        <v>0</v>
      </c>
    </row>
    <row r="43" customFormat="false" ht="29.25" hidden="false" customHeight="true" outlineLevel="0" collapsed="false">
      <c r="U43" s="19" t="s">
        <v>383</v>
      </c>
      <c r="V43" s="19" t="n">
        <f aca="false">SUM(V2:V41)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2"/>
    <col collapsed="false" customWidth="true" hidden="false" outlineLevel="0" max="6" min="5" style="1" width="6"/>
    <col collapsed="false" customWidth="true" hidden="false" outlineLevel="0" max="7" min="7" style="1" width="44"/>
  </cols>
  <sheetData>
    <row r="1" customFormat="false" ht="15" hidden="false" customHeight="true" outlineLevel="0" collapsed="false">
      <c r="A1" s="9" t="s">
        <v>384</v>
      </c>
      <c r="B1" s="9" t="s">
        <v>385</v>
      </c>
      <c r="C1" s="9" t="s">
        <v>386</v>
      </c>
      <c r="D1" s="9" t="s">
        <v>387</v>
      </c>
      <c r="E1" s="9" t="s">
        <v>353</v>
      </c>
      <c r="F1" s="9" t="s">
        <v>235</v>
      </c>
      <c r="G1" s="9" t="s">
        <v>111</v>
      </c>
      <c r="I1" s="18" t="s">
        <v>388</v>
      </c>
    </row>
    <row r="2" customFormat="false" ht="15" hidden="false" customHeight="true" outlineLevel="0" collapsed="false">
      <c r="A2" s="28" t="s">
        <v>389</v>
      </c>
      <c r="B2" s="28" t="s">
        <v>365</v>
      </c>
      <c r="C2" s="29" t="s">
        <v>175</v>
      </c>
      <c r="D2" s="29" t="s">
        <v>348</v>
      </c>
      <c r="G2" s="17" t="s">
        <v>390</v>
      </c>
    </row>
    <row r="3" customFormat="false" ht="15" hidden="false" customHeight="true" outlineLevel="0" collapsed="false">
      <c r="G3" s="16"/>
    </row>
    <row r="4" customFormat="false" ht="15" hidden="false" customHeight="true" outlineLevel="0" collapsed="false">
      <c r="G4" s="16"/>
    </row>
    <row r="5" customFormat="false" ht="15" hidden="false" customHeight="true" outlineLevel="0" collapsed="false">
      <c r="G5" s="16"/>
    </row>
    <row r="6" customFormat="false" ht="15" hidden="false" customHeight="true" outlineLevel="0" collapsed="false">
      <c r="G6" s="16"/>
    </row>
    <row r="7" customFormat="false" ht="15" hidden="false" customHeight="true" outlineLevel="0" collapsed="false">
      <c r="G7" s="16"/>
    </row>
    <row r="8" customFormat="false" ht="15" hidden="false" customHeight="true" outlineLevel="0" collapsed="false">
      <c r="G8" s="16"/>
    </row>
    <row r="9" customFormat="false" ht="15" hidden="false" customHeight="true" outlineLevel="0" collapsed="false">
      <c r="G9" s="16"/>
    </row>
    <row r="10" customFormat="false" ht="15" hidden="false" customHeight="true" outlineLevel="0" collapsed="false">
      <c r="G10" s="16"/>
    </row>
    <row r="11" customFormat="false" ht="15" hidden="false" customHeight="true" outlineLevel="0" collapsed="false">
      <c r="G11" s="16"/>
    </row>
    <row r="12" customFormat="false" ht="15" hidden="false" customHeight="true" outlineLevel="0" collapsed="false">
      <c r="G12" s="16"/>
    </row>
    <row r="13" customFormat="false" ht="15" hidden="false" customHeight="true" outlineLevel="0" collapsed="false">
      <c r="G13" s="16"/>
    </row>
    <row r="14" customFormat="false" ht="15" hidden="false" customHeight="true" outlineLevel="0" collapsed="false">
      <c r="G14" s="16"/>
    </row>
    <row r="15" customFormat="false" ht="15" hidden="false" customHeight="true" outlineLevel="0" collapsed="false">
      <c r="G15" s="16"/>
    </row>
    <row r="16" customFormat="false" ht="15" hidden="false" customHeight="true" outlineLevel="0" collapsed="false">
      <c r="G16" s="16"/>
    </row>
    <row r="17" customFormat="false" ht="15" hidden="false" customHeight="true" outlineLevel="0" collapsed="false">
      <c r="G17" s="16"/>
    </row>
    <row r="18" customFormat="false" ht="15" hidden="false" customHeight="true" outlineLevel="0" collapsed="false">
      <c r="G18" s="16"/>
    </row>
    <row r="19" customFormat="false" ht="15" hidden="false" customHeight="true" outlineLevel="0" collapsed="false">
      <c r="G19" s="16"/>
    </row>
    <row r="20" customFormat="false" ht="15" hidden="false" customHeight="true" outlineLevel="0" collapsed="false">
      <c r="G20" s="16"/>
    </row>
    <row r="21" customFormat="false" ht="15" hidden="false" customHeight="true" outlineLevel="0" collapsed="false">
      <c r="G21" s="16"/>
    </row>
    <row r="22" customFormat="false" ht="15" hidden="false" customHeight="true" outlineLevel="0" collapsed="false">
      <c r="G22" s="16"/>
    </row>
    <row r="23" customFormat="false" ht="15" hidden="false" customHeight="true" outlineLevel="0" collapsed="false">
      <c r="G23" s="16"/>
    </row>
    <row r="24" customFormat="false" ht="15" hidden="false" customHeight="true" outlineLevel="0" collapsed="false">
      <c r="G24" s="16"/>
    </row>
    <row r="25" customFormat="false" ht="15" hidden="false" customHeight="true" outlineLevel="0" collapsed="false">
      <c r="G25" s="16"/>
    </row>
    <row r="26" customFormat="false" ht="15" hidden="false" customHeight="true" outlineLevel="0" collapsed="false">
      <c r="G26" s="16"/>
    </row>
    <row r="27" customFormat="false" ht="15" hidden="false" customHeight="true" outlineLevel="0" collapsed="false">
      <c r="G27" s="16"/>
    </row>
    <row r="28" customFormat="false" ht="15" hidden="false" customHeight="true" outlineLevel="0" collapsed="false">
      <c r="G28" s="16"/>
    </row>
    <row r="29" customFormat="false" ht="15" hidden="false" customHeight="true" outlineLevel="0" collapsed="false">
      <c r="G29" s="16"/>
    </row>
    <row r="30" customFormat="false" ht="15" hidden="false" customHeight="true" outlineLevel="0" collapsed="false">
      <c r="G30" s="16"/>
    </row>
    <row r="31" customFormat="false" ht="15" hidden="false" customHeight="true" outlineLevel="0" collapsed="false">
      <c r="G31" s="16"/>
    </row>
  </sheetData>
  <dataValidations count="4">
    <dataValidation allowBlank="true" errorStyle="stop" operator="between" showDropDown="false" showErrorMessage="false" showInputMessage="false" sqref="D2:D31" type="list">
      <formula1>教師名冊!$A$2:$A$61</formula1>
      <formula2>0</formula2>
    </dataValidation>
    <dataValidation allowBlank="true" errorStyle="stop" operator="between" showDropDown="false" showErrorMessage="false" showInputMessage="false" sqref="E2:E31" type="list">
      <formula1>"一,二,三,四,五"</formula1>
      <formula2>0</formula2>
    </dataValidation>
    <dataValidation allowBlank="true" errorStyle="stop" operator="between" showDropDown="false" showErrorMessage="false" showInputMessage="false" sqref="F2:F31" type="list">
      <formula1>"1,2,3,4,5,6,7"</formula1>
      <formula2>0</formula2>
    </dataValidation>
    <dataValidation allowBlank="true" errorStyle="stop" operator="between" showDropDown="false" showErrorMessage="false" showInputMessage="false" sqref="C2:C31" type="list">
      <formula1>"國語文,本土語文,英語文,數學,生活課程,社會,自然科學,音樂,視覺藝術,綜合活動,健康,體育,校訂A,校訂B,校訂C,校訂D,校訂E,校訂F"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2026-07-09T05:49:11Z</dcterms:created>
  <dc:creator>openpyxl</dc:creator>
  <dc:description/>
  <dc:language>en-US</dc:language>
  <cp:lastModifiedBy/>
  <dcterms:modified xsi:type="dcterms:W3CDTF">2026-07-09T12:38:22Z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